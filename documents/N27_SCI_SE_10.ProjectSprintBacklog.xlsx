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Documents\Tài liệu đầu năm 4\DỒ ÁN TỐT NGHIỆP\TAI_LIEU_FINAL\"/>
    </mc:Choice>
  </mc:AlternateContent>
  <xr:revisionPtr revIDLastSave="0" documentId="13_ncr:1_{4B058FFD-ECE7-4082-9371-C249689323F0}" xr6:coauthVersionLast="47" xr6:coauthVersionMax="47" xr10:uidLastSave="{00000000-0000-0000-0000-000000000000}"/>
  <bookViews>
    <workbookView xWindow="4725" yWindow="23880" windowWidth="29040" windowHeight="15720" activeTab="3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YMwOqQrn17ueSsVHRQEhLmZ6crQPZPNeAKI07hFxAc="/>
    </ext>
  </extLst>
</workbook>
</file>

<file path=xl/calcChain.xml><?xml version="1.0" encoding="utf-8"?>
<calcChain xmlns="http://schemas.openxmlformats.org/spreadsheetml/2006/main">
  <c r="K5" i="4" l="1"/>
  <c r="J5" i="4"/>
  <c r="I5" i="4"/>
  <c r="H5" i="4"/>
  <c r="G5" i="4"/>
  <c r="F5" i="4"/>
  <c r="E5" i="4"/>
  <c r="D5" i="4"/>
  <c r="C5" i="4"/>
  <c r="D9" i="3"/>
  <c r="D6" i="4" s="1"/>
  <c r="B5" i="4"/>
  <c r="E12" i="3"/>
  <c r="K6" i="4" s="1"/>
  <c r="D12" i="3"/>
  <c r="J6" i="4" s="1"/>
  <c r="E11" i="3"/>
  <c r="D11" i="3"/>
  <c r="H6" i="4" s="1"/>
  <c r="E10" i="3"/>
  <c r="G6" i="4" s="1"/>
  <c r="D10" i="3"/>
  <c r="F6" i="4" s="1"/>
  <c r="E9" i="3"/>
  <c r="E6" i="4" s="1"/>
  <c r="E8" i="3"/>
  <c r="C6" i="4" s="1"/>
  <c r="D8" i="3"/>
  <c r="B6" i="4" s="1"/>
  <c r="Y83" i="3"/>
  <c r="Z82" i="3"/>
  <c r="R83" i="3"/>
  <c r="X83" i="3"/>
  <c r="X82" i="3"/>
  <c r="V83" i="3"/>
  <c r="V82" i="3"/>
  <c r="S83" i="3"/>
  <c r="S82" i="3"/>
  <c r="P83" i="3"/>
  <c r="P82" i="3"/>
  <c r="M83" i="3"/>
  <c r="M82" i="3"/>
  <c r="K83" i="3"/>
  <c r="K82" i="3"/>
  <c r="J83" i="3"/>
  <c r="J82" i="3"/>
  <c r="E12" i="2"/>
  <c r="D12" i="2"/>
  <c r="E11" i="2"/>
  <c r="D11" i="2"/>
  <c r="E10" i="2"/>
  <c r="D10" i="2"/>
  <c r="E9" i="2"/>
  <c r="D9" i="2"/>
  <c r="E8" i="2"/>
  <c r="D8" i="2"/>
  <c r="W83" i="3"/>
  <c r="U83" i="3"/>
  <c r="T83" i="3"/>
  <c r="Q83" i="3"/>
  <c r="O83" i="3"/>
  <c r="N83" i="3"/>
  <c r="L83" i="3"/>
  <c r="I83" i="3"/>
  <c r="G83" i="3"/>
  <c r="Y82" i="3"/>
  <c r="W82" i="3"/>
  <c r="U82" i="3"/>
  <c r="T82" i="3"/>
  <c r="R82" i="3"/>
  <c r="Q82" i="3"/>
  <c r="O82" i="3"/>
  <c r="N82" i="3"/>
  <c r="L82" i="3"/>
  <c r="I82" i="3"/>
  <c r="G82" i="3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F84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F83" i="2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G86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G85" i="1"/>
  <c r="E12" i="1"/>
  <c r="K4" i="4" s="1"/>
  <c r="D12" i="1"/>
  <c r="J4" i="4" s="1"/>
  <c r="J7" i="4" s="1"/>
  <c r="E11" i="1"/>
  <c r="I4" i="4" s="1"/>
  <c r="D11" i="1"/>
  <c r="H4" i="4" s="1"/>
  <c r="H7" i="4" s="1"/>
  <c r="E10" i="1"/>
  <c r="G4" i="4" s="1"/>
  <c r="D10" i="1"/>
  <c r="F4" i="4" s="1"/>
  <c r="F7" i="4" s="1"/>
  <c r="E9" i="1"/>
  <c r="E4" i="4" s="1"/>
  <c r="D9" i="1"/>
  <c r="D4" i="4" s="1"/>
  <c r="D7" i="4" s="1"/>
  <c r="E8" i="1"/>
  <c r="D8" i="1"/>
  <c r="B4" i="4" s="1"/>
  <c r="B7" i="4" s="1"/>
  <c r="F11" i="4" l="1"/>
  <c r="E13" i="3"/>
  <c r="G7" i="4"/>
  <c r="E7" i="4"/>
  <c r="K7" i="4"/>
  <c r="E13" i="1"/>
  <c r="C4" i="4"/>
  <c r="C7" i="4" s="1"/>
  <c r="D13" i="1"/>
  <c r="D13" i="3"/>
  <c r="I6" i="4"/>
  <c r="I7" i="4" s="1"/>
  <c r="D13" i="2" l="1"/>
  <c r="E13" i="2"/>
  <c r="F12" i="4"/>
</calcChain>
</file>

<file path=xl/sharedStrings.xml><?xml version="1.0" encoding="utf-8"?>
<sst xmlns="http://schemas.openxmlformats.org/spreadsheetml/2006/main" count="480" uniqueCount="222">
  <si>
    <t>Project name: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</si>
  <si>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</si>
  <si>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</si>
  <si>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</si>
  <si>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</si>
  <si>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</si>
  <si>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</si>
  <si>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</si>
  <si>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</si>
  <si>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</si>
  <si>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</si>
  <si>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</si>
  <si>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</si>
  <si>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Phạm Quốc Hiệu</t>
  </si>
  <si>
    <t>Nguyễn Tam Minh Thức</t>
  </si>
  <si>
    <t>Lý Thái Tài</t>
  </si>
  <si>
    <t>Hoàng Đình Vinh</t>
  </si>
  <si>
    <t>Doãn Thanh Việt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</si>
  <si>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</si>
  <si>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</si>
  <si>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</si>
  <si>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</si>
  <si>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</si>
  <si>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</si>
  <si>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</si>
  <si>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</si>
  <si>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Tài</t>
  </si>
  <si>
    <t>Tạo tài liệu kiểm thử cho Sprint</t>
  </si>
  <si>
    <t>Thức,Việt,Vinh,Tài</t>
  </si>
  <si>
    <t>User interface design</t>
  </si>
  <si>
    <t>Giao diện Đăng nhập</t>
  </si>
  <si>
    <t>Vinh</t>
  </si>
  <si>
    <t>Giao diện Đăng ký</t>
  </si>
  <si>
    <t>Giao diện Danh sách phim</t>
  </si>
  <si>
    <t>Thức</t>
  </si>
  <si>
    <t>Giao diện Chi tiết phim</t>
  </si>
  <si>
    <t>Giao diện Tìm kiếm phim</t>
  </si>
  <si>
    <t>Giao diện Quản lý phim</t>
  </si>
  <si>
    <t>Giao diện Quản lý rạp chiếu</t>
  </si>
  <si>
    <t>Review all user interfaces of sprint 1</t>
  </si>
  <si>
    <t>Design test case</t>
  </si>
  <si>
    <t>Thiết kế trường kiểm thử cho Đăng nhập</t>
  </si>
  <si>
    <t>Việt</t>
  </si>
  <si>
    <t>Thiết kế trường kiểm thử cho Đăng ký</t>
  </si>
  <si>
    <t xml:space="preserve"> </t>
  </si>
  <si>
    <t>Thiết kế trường kiểm thử cho Danh sách phim</t>
  </si>
  <si>
    <t>Thiết kế trường kiểm thử cho Chi tiết phim</t>
  </si>
  <si>
    <t>Thiết kế trường kiểm thử cho Tìm kiếm phim</t>
  </si>
  <si>
    <t>Thiết kế trường kiểm thử cho Quản lý phim</t>
  </si>
  <si>
    <t>Thiết kế trường kiểm thử cho Quản lý rạp chiếu</t>
  </si>
  <si>
    <t>Review all test case of sprint 1</t>
  </si>
  <si>
    <t>Coding</t>
  </si>
  <si>
    <t>Code back-end cho Đăng nhập</t>
  </si>
  <si>
    <t>Hiệu</t>
  </si>
  <si>
    <t>Code front-end cho Đăng nhập</t>
  </si>
  <si>
    <t>Code back-end cho Đăng ký</t>
  </si>
  <si>
    <t>Code front-end cho Đăng ký</t>
  </si>
  <si>
    <t>Code back-end cho Danh sách phim</t>
  </si>
  <si>
    <t>Code front-end cho Danh sách phim</t>
  </si>
  <si>
    <t>Code back-end cho Chi tiết phim</t>
  </si>
  <si>
    <t>Code front-end cho Chi tiết phim</t>
  </si>
  <si>
    <t>Code back-end cho Tìm kiếm phim</t>
  </si>
  <si>
    <t>Code front-end cho Tìm kiếm phim</t>
  </si>
  <si>
    <t>Code back-end cho Quản lý phim</t>
  </si>
  <si>
    <t>Code front-end cho Quản lý phim</t>
  </si>
  <si>
    <t>Code back-end cho Quản lý rạp chiếu</t>
  </si>
  <si>
    <t>Code front-end cho Quản lý rạp chiếu</t>
  </si>
  <si>
    <t xml:space="preserve">Integrate code </t>
  </si>
  <si>
    <t>Testing</t>
  </si>
  <si>
    <t>Kiểm tra Đăng nhập</t>
  </si>
  <si>
    <t>Kiểm tra Đăng ký</t>
  </si>
  <si>
    <t>Kiểm tra Danh sách phim</t>
  </si>
  <si>
    <t>Kiểm tra Chi tiết phim</t>
  </si>
  <si>
    <t>Kiểm tra Tìm kiếm phim</t>
  </si>
  <si>
    <t>Kiểm tra Quản lý phim</t>
  </si>
  <si>
    <t>Kiểm tra Quản lý rạp chiếu</t>
  </si>
  <si>
    <t>Fix Bug</t>
  </si>
  <si>
    <t>Sửa lỗi  Đăng nhập</t>
  </si>
  <si>
    <t>Hiệu, Vinh</t>
  </si>
  <si>
    <t>Sửa lỗi Đăng ký</t>
  </si>
  <si>
    <t>Sửa lỗi Danh sách phim</t>
  </si>
  <si>
    <t>Sửa lỗi Chi tiết phim</t>
  </si>
  <si>
    <t>Sửa lỗi Tìm kiếm phim</t>
  </si>
  <si>
    <t>Sửa lỗi Quản lý phim</t>
  </si>
  <si>
    <t>Sửa lỗi Quản lý rạp chiếu</t>
  </si>
  <si>
    <t>Re-testing</t>
  </si>
  <si>
    <t>Kiểm tra lại Đăng nhập</t>
  </si>
  <si>
    <t>Kiểm tra lại Đăng ký</t>
  </si>
  <si>
    <t>Kiểm tra lại Danh sách phim</t>
  </si>
  <si>
    <t>Kiểm tra lại Chi tiết phim</t>
  </si>
  <si>
    <t>Kiểm tra lại Tìm kiếm phim</t>
  </si>
  <si>
    <t>Kiểm tra lại Quản lý phim</t>
  </si>
  <si>
    <t>Kiểm tra lại Quản lý rạp chiếu</t>
  </si>
  <si>
    <t>Release Sprint 1</t>
  </si>
  <si>
    <t>Sprint 1 review meeting</t>
  </si>
  <si>
    <t>Sprint 1 retrospective</t>
  </si>
  <si>
    <t>Sprint 2</t>
  </si>
  <si>
    <t>SPRINT 2 REPORT</t>
  </si>
  <si>
    <t>Tạo Sprint Backlog 2</t>
  </si>
  <si>
    <t>Giao diện Quên mật khẩu</t>
  </si>
  <si>
    <t>Giao diện Quản lý thông tin cá nhân</t>
  </si>
  <si>
    <t>Giao diện Đặt vé</t>
  </si>
  <si>
    <t>Giao diện Thanh toán</t>
  </si>
  <si>
    <t>Giao diện quản lý phòng chiếu</t>
  </si>
  <si>
    <t>Giao diện quản lý suất chiếu</t>
  </si>
  <si>
    <t>Giao diện quản lí đặt vé</t>
  </si>
  <si>
    <t>Review all user interfaces of sprint 2</t>
  </si>
  <si>
    <t>Thiết kế trường kiểm thử cho Quên mật khẩu</t>
  </si>
  <si>
    <t>Thiết kế trường kiểm thử cho Quản lý thông tin cá nhân</t>
  </si>
  <si>
    <t>Thiết kế trường kiểm thử cho Đặt Vé</t>
  </si>
  <si>
    <t>Thiết kế trường kiểm thử cho Thanh Toán</t>
  </si>
  <si>
    <t>Thiết kế trường kiểm thử cho Quản lý phòng chiếu</t>
  </si>
  <si>
    <t>Thiết kế trường kiểm thử cho Quản lý đặt vé</t>
  </si>
  <si>
    <t>Review all test case of sprint 2</t>
  </si>
  <si>
    <t>Code back-end cho Quên mật khẩu</t>
  </si>
  <si>
    <t>Code front-end cho Quên mật khẩu</t>
  </si>
  <si>
    <t>Code back-end cho Quản lý thông tin cá nhân,</t>
  </si>
  <si>
    <t>Code front-end cho Quản lý thông tin cá nhân</t>
  </si>
  <si>
    <t>Code back-end cho Đặt vé</t>
  </si>
  <si>
    <t>Code front-end cho Đặt vé</t>
  </si>
  <si>
    <t>Code back-end cho Thanh toán</t>
  </si>
  <si>
    <t>Code front-end cho Thanh toán</t>
  </si>
  <si>
    <t>Code back-end cho Quản lý phòng chiếu</t>
  </si>
  <si>
    <t>Code front-end cho Quản lý phòng chiếu</t>
  </si>
  <si>
    <t>Code back-end cho Quản lý suất chiếu</t>
  </si>
  <si>
    <t>Code front-end cho Quản lý suất chiếu</t>
  </si>
  <si>
    <t>Code back-end cho Quản lý đặt vé</t>
  </si>
  <si>
    <t>Code front-end cho Quản lý đặt vé</t>
  </si>
  <si>
    <t>Integrate code</t>
  </si>
  <si>
    <t>Kiểm tra Quên mật khẩu</t>
  </si>
  <si>
    <t>Kiểm tra Quản lý thông tin cá nhân</t>
  </si>
  <si>
    <t>Kiểm tra Đặt Vé</t>
  </si>
  <si>
    <t>Kiểm tra Thanh Toán</t>
  </si>
  <si>
    <t>Kiểm tra Quản lý phòng chiếu</t>
  </si>
  <si>
    <t>Kiểm tra Quản lý xuất chiếu</t>
  </si>
  <si>
    <t>Kiểm tra Quản lý đặt vé</t>
  </si>
  <si>
    <t>Sửa lỗi Quên mật khẩu</t>
  </si>
  <si>
    <t>Sửa lỗi Quản lý thông tin cá nhân</t>
  </si>
  <si>
    <t>Sửa lỗi Đặt Vé</t>
  </si>
  <si>
    <t>Sửa lỗi Thanh Toán</t>
  </si>
  <si>
    <t>Sửa lỗi Quản lý phòng chiếu</t>
  </si>
  <si>
    <t>Sửa lỗi Quản lý xuất chiếu</t>
  </si>
  <si>
    <t>Sửa lỗi Quản lý đặt vé</t>
  </si>
  <si>
    <t>Kiểm tra lại Kiểm tra Quên mật khẩu</t>
  </si>
  <si>
    <t>Kiểm tra lại Kiểm tra Quản lý thông tin cá nhân</t>
  </si>
  <si>
    <t>Kiểm tra lại Kiểm tra Đặt Vé</t>
  </si>
  <si>
    <t>Kiểm tra lại Kiểm tra Thanh Toán</t>
  </si>
  <si>
    <t>Kiểm tra lại Kiểm tra Quản lý phòng chiếu</t>
  </si>
  <si>
    <t>Kiểm tra lại Kiểm tra Quản lý xuất chiếu</t>
  </si>
  <si>
    <t>Kiểm tra lại Kiểm tra Quản lý đặt vé</t>
  </si>
  <si>
    <t>Release Sprint 2</t>
  </si>
  <si>
    <t>Sprint 2 review meeting</t>
  </si>
  <si>
    <t>Sprint 2 retrospective</t>
  </si>
  <si>
    <t>Kết thúc</t>
  </si>
  <si>
    <t>Sprint 3</t>
  </si>
  <si>
    <t>Tăng ca</t>
  </si>
  <si>
    <t>S</t>
  </si>
  <si>
    <t>Chậm tiến độ</t>
  </si>
  <si>
    <t>SPRINT 3 REPORT</t>
  </si>
  <si>
    <t>Tạo Sprint Backlog 3</t>
  </si>
  <si>
    <t>Hiệu, Thức</t>
  </si>
  <si>
    <t>Giao diện Đánh giá và bình luận phim</t>
  </si>
  <si>
    <t xml:space="preserve">Giao diện Xem lịch sử đặt vé </t>
  </si>
  <si>
    <t>Giao diện Xem sơ đồ phòng chiếu 3D</t>
  </si>
  <si>
    <t>Giao diện Chatbot AI</t>
  </si>
  <si>
    <t>Giao diện Quản lý thành viên</t>
  </si>
  <si>
    <t>Giao diện Quản lý bình luận</t>
  </si>
  <si>
    <t>Giao diện Thống kê và báo cáo</t>
  </si>
  <si>
    <t>Review all user interfaces of sprint 3</t>
  </si>
  <si>
    <t>Thiết kế trường kiểm thử cho Đánh giá và bình luận phim</t>
  </si>
  <si>
    <t xml:space="preserve">Tài </t>
  </si>
  <si>
    <t>Thiết kế trường kiểm thử cho Xem lịch sử đặt vé</t>
  </si>
  <si>
    <t>Thiết kế trường kiểm thử cho Xem sơ đồ phòng chiếu 3D</t>
  </si>
  <si>
    <t>Thiết kế trường kiểm thử cho Chatbot AI</t>
  </si>
  <si>
    <t>Thiết kế trường kiểm thử cho Quản lý thành viên</t>
  </si>
  <si>
    <t>Thiết kế trường kiểm thử cho Quản lý bình luận</t>
  </si>
  <si>
    <t>Thiết kế trường kiểm thử cho Thống kê và báo cáo</t>
  </si>
  <si>
    <t>Code back-end cho Đánh giá và bình luận phim</t>
  </si>
  <si>
    <t>Code front-end cho Đánh giá và bình luận phim</t>
  </si>
  <si>
    <t>Code back-end cho cho Xem lịch sử đặt vé</t>
  </si>
  <si>
    <t>Code front-end cho Xem lịch sử đặt vé</t>
  </si>
  <si>
    <t>Code back-end cho Xem sơ đồ phòng chiếu 3D</t>
  </si>
  <si>
    <t>Code front-end cho Xem sơ đồ phòng chiếu 3D</t>
  </si>
  <si>
    <t>Code back-end cho Chatbot AI</t>
  </si>
  <si>
    <t>Code front-end cho Chatbot AI</t>
  </si>
  <si>
    <t>Code back-end cho Quản lý thành viên</t>
  </si>
  <si>
    <t>Code front-end cho Quản lý thành viên</t>
  </si>
  <si>
    <t>Code back-end cho Quản lý bình luận</t>
  </si>
  <si>
    <t>Code front-end cho cho Quản lý bình luận</t>
  </si>
  <si>
    <t>Code back-end cho Thống kê và báo cáo</t>
  </si>
  <si>
    <t>Code front-end cho Thống kê và báo cáo</t>
  </si>
  <si>
    <t>Kiểm tra Đánh giá và bình luận phim</t>
  </si>
  <si>
    <t>Kiểm tra Xem lịch sử đặt vé</t>
  </si>
  <si>
    <t>Kiểm tra Xem sơ đồ phòng chiếu 3D</t>
  </si>
  <si>
    <t>Kiểm tra Chatbot AI</t>
  </si>
  <si>
    <t>Kiểm tra Quản lý thành viên</t>
  </si>
  <si>
    <t>Kiểm tra Quản lý bình luận</t>
  </si>
  <si>
    <t>Kiểm tra Thống kê và báo cáo</t>
  </si>
  <si>
    <t>Sửa lỗi Đánh giá và bình luận phim</t>
  </si>
  <si>
    <t>Sửa lỗi Xem lịch sử đặt vé</t>
  </si>
  <si>
    <t>Sửa lỗi Xem sơ đồ phòng chiếu 3D</t>
  </si>
  <si>
    <t>Sửa lỗi Chatbot AI</t>
  </si>
  <si>
    <t>Sữa lỗi Quản lý thành viên</t>
  </si>
  <si>
    <t>Sữa lỗi Quản lý bình luận</t>
  </si>
  <si>
    <t>Sữa lỗi Thống kê và báo cáo</t>
  </si>
  <si>
    <t>Kiểm tra lại Đánh giá và bình luận phim</t>
  </si>
  <si>
    <t>Kiểm tra lại Xem lịch sử đặt vé</t>
  </si>
  <si>
    <t>Kiểm tra lại Xem sơ đồ phòng chiếu 3D</t>
  </si>
  <si>
    <t>Kiểm tra lại Chatbot AI</t>
  </si>
  <si>
    <t>Kiểm tra lại Quản lý thành viên</t>
  </si>
  <si>
    <t>Kiểm tra lại Quản lý bình luận</t>
  </si>
  <si>
    <t>Kiểm tra lạiThống kê và báo cáo</t>
  </si>
  <si>
    <t>Sprint 3 review meeting</t>
  </si>
  <si>
    <t>Sprint 3 retrospective</t>
  </si>
  <si>
    <t>SPRINT BACKLOG REPORT</t>
  </si>
  <si>
    <t>FINAL TOTAL</t>
  </si>
  <si>
    <t>Thức,Tài</t>
  </si>
  <si>
    <t>Tài,Vinh</t>
  </si>
  <si>
    <t>Thiết kế trường kiểm thử cho Quản lý Suất chiếu</t>
  </si>
  <si>
    <t>Hiệu, Việt</t>
  </si>
  <si>
    <t>Hiệu, Tài</t>
  </si>
  <si>
    <t>MOVIX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</si>
</sst>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7" x14ac:knownFonts="1">
    <font>
      <sz val="11"/>
      <color theme="1"/>
      <name val="Calibri"/>
      <scheme val="minor"/>
    </font>
    <font>
      <b/>
      <sz val="13"/>
      <color theme="1"/>
      <name val="Times New Roman"/>
    </font>
    <font>
      <sz val="11"/>
      <name val="Calibri"/>
    </font>
    <font>
      <sz val="13"/>
      <color theme="1"/>
      <name val="Times New Roman"/>
    </font>
    <font>
      <sz val="11"/>
      <color theme="1"/>
      <name val="Calibri"/>
    </font>
    <font>
      <sz val="13"/>
      <color rgb="FF000000"/>
      <name val="Times New Roman"/>
    </font>
    <font>
      <sz val="12"/>
      <color rgb="FF000000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0F035"/>
        <bgColor rgb="FF30F035"/>
      </patternFill>
    </fill>
    <fill>
      <patternFill patternType="solid">
        <fgColor rgb="FFD6DCE4"/>
        <bgColor rgb="FFD6DCE4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C00CC"/>
        <bgColor rgb="FFCC00CC"/>
      </patternFill>
    </fill>
    <fill>
      <patternFill patternType="solid">
        <fgColor rgb="FFFF66CC"/>
        <bgColor rgb="FFFF66CC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3" xfId="0" applyFont="1" applyBorder="1" applyAlignment="1">
      <alignment wrapText="1"/>
    </xf>
    <xf numFmtId="0" fontId="3" fillId="0" borderId="0" xfId="0" applyFont="1"/>
    <xf numFmtId="0" fontId="3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3" fillId="0" borderId="3" xfId="0" applyFont="1" applyBorder="1"/>
    <xf numFmtId="0" fontId="3" fillId="3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/>
    </xf>
    <xf numFmtId="0" fontId="3" fillId="4" borderId="8" xfId="0" applyFont="1" applyFill="1" applyBorder="1"/>
    <xf numFmtId="0" fontId="3" fillId="0" borderId="9" xfId="0" applyFont="1" applyBorder="1" applyAlignment="1">
      <alignment vertical="center" wrapText="1"/>
    </xf>
    <xf numFmtId="0" fontId="1" fillId="6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5" borderId="3" xfId="0" applyFont="1" applyFill="1" applyBorder="1"/>
    <xf numFmtId="0" fontId="1" fillId="5" borderId="11" xfId="0" applyFont="1" applyFill="1" applyBorder="1"/>
    <xf numFmtId="0" fontId="1" fillId="0" borderId="11" xfId="0" applyFont="1" applyBorder="1" applyAlignment="1">
      <alignment textRotation="90" wrapText="1"/>
    </xf>
    <xf numFmtId="164" fontId="1" fillId="0" borderId="11" xfId="0" applyNumberFormat="1" applyFont="1" applyBorder="1" applyAlignment="1">
      <alignment textRotation="90" wrapText="1"/>
    </xf>
    <xf numFmtId="0" fontId="3" fillId="0" borderId="11" xfId="0" applyFont="1" applyBorder="1"/>
    <xf numFmtId="0" fontId="3" fillId="2" borderId="11" xfId="0" applyFont="1" applyFill="1" applyBorder="1"/>
    <xf numFmtId="0" fontId="2" fillId="0" borderId="16" xfId="0" applyFont="1" applyBorder="1"/>
    <xf numFmtId="0" fontId="3" fillId="4" borderId="11" xfId="0" applyFont="1" applyFill="1" applyBorder="1"/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/>
    <xf numFmtId="0" fontId="1" fillId="0" borderId="11" xfId="0" applyFont="1" applyBorder="1"/>
    <xf numFmtId="0" fontId="3" fillId="3" borderId="11" xfId="0" applyFont="1" applyFill="1" applyBorder="1"/>
    <xf numFmtId="14" fontId="3" fillId="0" borderId="11" xfId="0" applyNumberFormat="1" applyFont="1" applyBorder="1" applyAlignment="1">
      <alignment horizontal="left"/>
    </xf>
    <xf numFmtId="0" fontId="1" fillId="9" borderId="11" xfId="0" applyFont="1" applyFill="1" applyBorder="1"/>
    <xf numFmtId="0" fontId="1" fillId="9" borderId="11" xfId="0" applyFont="1" applyFill="1" applyBorder="1" applyAlignment="1">
      <alignment horizontal="center"/>
    </xf>
    <xf numFmtId="164" fontId="1" fillId="0" borderId="0" xfId="0" applyNumberFormat="1" applyFont="1" applyAlignment="1">
      <alignment textRotation="90" wrapText="1"/>
    </xf>
    <xf numFmtId="164" fontId="4" fillId="0" borderId="0" xfId="0" applyNumberFormat="1" applyFont="1"/>
    <xf numFmtId="0" fontId="3" fillId="0" borderId="11" xfId="0" applyFont="1" applyBorder="1" applyAlignment="1">
      <alignment horizontal="left"/>
    </xf>
    <xf numFmtId="0" fontId="3" fillId="7" borderId="11" xfId="0" applyFont="1" applyFill="1" applyBorder="1"/>
    <xf numFmtId="0" fontId="3" fillId="10" borderId="11" xfId="0" applyFont="1" applyFill="1" applyBorder="1"/>
    <xf numFmtId="0" fontId="5" fillId="0" borderId="11" xfId="0" applyFont="1" applyBorder="1"/>
    <xf numFmtId="0" fontId="3" fillId="11" borderId="11" xfId="0" applyFont="1" applyFill="1" applyBorder="1"/>
    <xf numFmtId="0" fontId="6" fillId="0" borderId="11" xfId="0" applyFont="1" applyBorder="1"/>
    <xf numFmtId="0" fontId="4" fillId="0" borderId="0" xfId="0" applyFont="1" applyAlignment="1">
      <alignment horizontal="center"/>
    </xf>
    <xf numFmtId="0" fontId="1" fillId="0" borderId="3" xfId="0" applyFont="1" applyBorder="1"/>
    <xf numFmtId="0" fontId="3" fillId="12" borderId="6" xfId="0" applyFont="1" applyFill="1" applyBorder="1"/>
    <xf numFmtId="0" fontId="3" fillId="13" borderId="6" xfId="0" applyFont="1" applyFill="1" applyBorder="1"/>
    <xf numFmtId="0" fontId="1" fillId="14" borderId="11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15" borderId="8" xfId="0" applyFont="1" applyFill="1" applyBorder="1" applyAlignment="1">
      <alignment horizontal="left" vertical="center"/>
    </xf>
    <xf numFmtId="0" fontId="1" fillId="15" borderId="33" xfId="0" applyFont="1" applyFill="1" applyBorder="1" applyAlignment="1">
      <alignment horizontal="center" vertical="center"/>
    </xf>
    <xf numFmtId="0" fontId="3" fillId="15" borderId="6" xfId="0" applyFont="1" applyFill="1" applyBorder="1"/>
    <xf numFmtId="0" fontId="3" fillId="0" borderId="7" xfId="0" applyFont="1" applyBorder="1"/>
    <xf numFmtId="0" fontId="3" fillId="15" borderId="8" xfId="0" applyFont="1" applyFill="1" applyBorder="1"/>
    <xf numFmtId="0" fontId="3" fillId="0" borderId="9" xfId="0" applyFont="1" applyBorder="1"/>
    <xf numFmtId="0" fontId="3" fillId="0" borderId="12" xfId="0" applyFont="1" applyBorder="1" applyAlignment="1">
      <alignment horizontal="left"/>
    </xf>
    <xf numFmtId="0" fontId="2" fillId="0" borderId="13" xfId="0" applyFont="1" applyBorder="1"/>
    <xf numFmtId="0" fontId="3" fillId="0" borderId="12" xfId="0" applyFont="1" applyBorder="1" applyAlignment="1">
      <alignment horizontal="center"/>
    </xf>
    <xf numFmtId="0" fontId="3" fillId="0" borderId="12" xfId="0" applyFont="1" applyBorder="1"/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3" fillId="0" borderId="14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1" fillId="5" borderId="1" xfId="0" applyFont="1" applyFill="1" applyBorder="1" applyAlignment="1">
      <alignment horizontal="center"/>
    </xf>
    <xf numFmtId="0" fontId="2" fillId="0" borderId="10" xfId="0" applyFont="1" applyBorder="1"/>
    <xf numFmtId="0" fontId="1" fillId="5" borderId="12" xfId="0" applyFont="1" applyFill="1" applyBorder="1" applyAlignment="1">
      <alignment horizontal="center"/>
    </xf>
    <xf numFmtId="0" fontId="2" fillId="0" borderId="15" xfId="0" applyFont="1" applyBorder="1"/>
    <xf numFmtId="0" fontId="1" fillId="5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3" fillId="0" borderId="12" xfId="0" applyFont="1" applyBorder="1" applyAlignment="1">
      <alignment horizontal="left" vertical="center" wrapText="1"/>
    </xf>
    <xf numFmtId="0" fontId="2" fillId="0" borderId="24" xfId="0" applyFont="1" applyBorder="1"/>
    <xf numFmtId="0" fontId="3" fillId="0" borderId="25" xfId="0" applyFont="1" applyBorder="1" applyAlignment="1">
      <alignment vertical="center" wrapText="1"/>
    </xf>
    <xf numFmtId="0" fontId="2" fillId="0" borderId="26" xfId="0" applyFont="1" applyBorder="1"/>
    <xf numFmtId="0" fontId="2" fillId="0" borderId="27" xfId="0" applyFont="1" applyBorder="1"/>
    <xf numFmtId="0" fontId="1" fillId="9" borderId="12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 vertical="center"/>
    </xf>
    <xf numFmtId="0" fontId="0" fillId="0" borderId="0" xfId="0"/>
    <xf numFmtId="0" fontId="1" fillId="14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3" fillId="14" borderId="31" xfId="0" applyFont="1" applyFill="1" applyBorder="1" applyAlignment="1">
      <alignment horizontal="center"/>
    </xf>
    <xf numFmtId="0" fontId="2" fillId="0" borderId="32" xfId="0" applyFont="1" applyBorder="1"/>
    <xf numFmtId="0" fontId="1" fillId="14" borderId="12" xfId="0" applyFont="1" applyFill="1" applyBorder="1" applyAlignment="1">
      <alignment horizontal="center" vertical="center"/>
    </xf>
    <xf numFmtId="0" fontId="3" fillId="14" borderId="28" xfId="0" applyFont="1" applyFill="1" applyBorder="1" applyAlignment="1">
      <alignment horizontal="center"/>
    </xf>
    <xf numFmtId="0" fontId="1" fillId="0" borderId="13" xfId="0" applyFont="1" applyBorder="1" applyAlignment="1">
      <alignment textRotation="90" wrapText="1"/>
    </xf>
    <xf numFmtId="0" fontId="3" fillId="0" borderId="17" xfId="0" applyFont="1" applyBorder="1"/>
    <xf numFmtId="0" fontId="1" fillId="0" borderId="34" xfId="0" applyFont="1" applyBorder="1" applyAlignment="1">
      <alignment textRotation="90" wrapText="1"/>
    </xf>
    <xf numFmtId="0" fontId="1" fillId="8" borderId="34" xfId="0" applyFont="1" applyFill="1" applyBorder="1" applyAlignment="1">
      <alignment horizontal="center"/>
    </xf>
    <xf numFmtId="0" fontId="2" fillId="0" borderId="34" xfId="0" applyFont="1" applyBorder="1"/>
    <xf numFmtId="0" fontId="1" fillId="6" borderId="34" xfId="0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4" xfId="0" applyFont="1" applyBorder="1"/>
    <xf numFmtId="0" fontId="1" fillId="5" borderId="34" xfId="0" applyFont="1" applyFill="1" applyBorder="1" applyAlignment="1">
      <alignment horizontal="center"/>
    </xf>
    <xf numFmtId="0" fontId="1" fillId="5" borderId="34" xfId="0" applyFont="1" applyFill="1" applyBorder="1"/>
    <xf numFmtId="0" fontId="3" fillId="0" borderId="13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Thực tế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</c:numCache>
            </c:numRef>
          </c:cat>
          <c:val>
            <c:numRef>
              <c:f>'Sprint 1'!$I$85:$X$85</c:f>
              <c:numCache>
                <c:formatCode>General</c:formatCode>
                <c:ptCount val="16"/>
                <c:pt idx="0">
                  <c:v>128</c:v>
                </c:pt>
                <c:pt idx="1">
                  <c:v>127</c:v>
                </c:pt>
                <c:pt idx="2">
                  <c:v>116</c:v>
                </c:pt>
                <c:pt idx="3">
                  <c:v>104</c:v>
                </c:pt>
                <c:pt idx="4">
                  <c:v>98</c:v>
                </c:pt>
                <c:pt idx="5">
                  <c:v>87</c:v>
                </c:pt>
                <c:pt idx="6">
                  <c:v>79</c:v>
                </c:pt>
                <c:pt idx="7">
                  <c:v>71</c:v>
                </c:pt>
                <c:pt idx="8">
                  <c:v>65</c:v>
                </c:pt>
                <c:pt idx="9">
                  <c:v>56</c:v>
                </c:pt>
                <c:pt idx="10">
                  <c:v>40</c:v>
                </c:pt>
                <c:pt idx="11">
                  <c:v>36</c:v>
                </c:pt>
                <c:pt idx="12">
                  <c:v>30</c:v>
                </c:pt>
                <c:pt idx="13">
                  <c:v>19</c:v>
                </c:pt>
                <c:pt idx="14">
                  <c:v>10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8-4D8A-8691-207AEF27568E}"/>
            </c:ext>
          </c:extLst>
        </c:ser>
        <c:ser>
          <c:idx val="1"/>
          <c:order val="1"/>
          <c:tx>
            <c:v>Ước tính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</c:numCache>
            </c:numRef>
          </c:cat>
          <c:val>
            <c:numRef>
              <c:f>'Sprint 1'!$I$86:$X$86</c:f>
              <c:numCache>
                <c:formatCode>General</c:formatCode>
                <c:ptCount val="16"/>
                <c:pt idx="0">
                  <c:v>128</c:v>
                </c:pt>
                <c:pt idx="1">
                  <c:v>127</c:v>
                </c:pt>
                <c:pt idx="2">
                  <c:v>116</c:v>
                </c:pt>
                <c:pt idx="3">
                  <c:v>106</c:v>
                </c:pt>
                <c:pt idx="4">
                  <c:v>102</c:v>
                </c:pt>
                <c:pt idx="5">
                  <c:v>87</c:v>
                </c:pt>
                <c:pt idx="6">
                  <c:v>81</c:v>
                </c:pt>
                <c:pt idx="7">
                  <c:v>71</c:v>
                </c:pt>
                <c:pt idx="8">
                  <c:v>63</c:v>
                </c:pt>
                <c:pt idx="9">
                  <c:v>54</c:v>
                </c:pt>
                <c:pt idx="10">
                  <c:v>42</c:v>
                </c:pt>
                <c:pt idx="11">
                  <c:v>38</c:v>
                </c:pt>
                <c:pt idx="12">
                  <c:v>28</c:v>
                </c:pt>
                <c:pt idx="13">
                  <c:v>19</c:v>
                </c:pt>
                <c:pt idx="14">
                  <c:v>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8-4D8A-8691-207AEF275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8133716"/>
        <c:axId val="1847716736"/>
      </c:lineChart>
      <c:dateAx>
        <c:axId val="828133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dd/mm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7716736"/>
        <c:crosses val="autoZero"/>
        <c:auto val="1"/>
        <c:lblOffset val="100"/>
        <c:baseTimeUnit val="days"/>
      </c:dateAx>
      <c:valAx>
        <c:axId val="1847716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81337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Thực tế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'Sprint 2'!$H$15:$W$15</c:f>
              <c:numCache>
                <c:formatCode>dd/mm</c:formatCode>
                <c:ptCount val="1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  <c:pt idx="7">
                  <c:v>46125</c:v>
                </c:pt>
                <c:pt idx="8">
                  <c:v>46126</c:v>
                </c:pt>
                <c:pt idx="9">
                  <c:v>46127</c:v>
                </c:pt>
                <c:pt idx="10">
                  <c:v>46128</c:v>
                </c:pt>
                <c:pt idx="11">
                  <c:v>46129</c:v>
                </c:pt>
                <c:pt idx="12">
                  <c:v>46130</c:v>
                </c:pt>
                <c:pt idx="13">
                  <c:v>46131</c:v>
                </c:pt>
                <c:pt idx="14">
                  <c:v>46132</c:v>
                </c:pt>
                <c:pt idx="15">
                  <c:v>46133</c:v>
                </c:pt>
              </c:numCache>
            </c:numRef>
          </c:cat>
          <c:val>
            <c:numRef>
              <c:f>'Sprint 2'!$H$83:$W$83</c:f>
              <c:numCache>
                <c:formatCode>General</c:formatCode>
                <c:ptCount val="16"/>
                <c:pt idx="0">
                  <c:v>134</c:v>
                </c:pt>
                <c:pt idx="1">
                  <c:v>124</c:v>
                </c:pt>
                <c:pt idx="2">
                  <c:v>120</c:v>
                </c:pt>
                <c:pt idx="3">
                  <c:v>116</c:v>
                </c:pt>
                <c:pt idx="4">
                  <c:v>114</c:v>
                </c:pt>
                <c:pt idx="5">
                  <c:v>92</c:v>
                </c:pt>
                <c:pt idx="6">
                  <c:v>80</c:v>
                </c:pt>
                <c:pt idx="7">
                  <c:v>71</c:v>
                </c:pt>
                <c:pt idx="8">
                  <c:v>65</c:v>
                </c:pt>
                <c:pt idx="9">
                  <c:v>61</c:v>
                </c:pt>
                <c:pt idx="10">
                  <c:v>45</c:v>
                </c:pt>
                <c:pt idx="11">
                  <c:v>41</c:v>
                </c:pt>
                <c:pt idx="12">
                  <c:v>28</c:v>
                </c:pt>
                <c:pt idx="13">
                  <c:v>23</c:v>
                </c:pt>
                <c:pt idx="14">
                  <c:v>14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1-40BB-A227-F430FF68DAC8}"/>
            </c:ext>
          </c:extLst>
        </c:ser>
        <c:ser>
          <c:idx val="1"/>
          <c:order val="1"/>
          <c:tx>
            <c:v>Ước Tính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'Sprint 2'!$H$15:$W$15</c:f>
              <c:numCache>
                <c:formatCode>dd/mm</c:formatCode>
                <c:ptCount val="1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  <c:pt idx="6">
                  <c:v>46124</c:v>
                </c:pt>
                <c:pt idx="7">
                  <c:v>46125</c:v>
                </c:pt>
                <c:pt idx="8">
                  <c:v>46126</c:v>
                </c:pt>
                <c:pt idx="9">
                  <c:v>46127</c:v>
                </c:pt>
                <c:pt idx="10">
                  <c:v>46128</c:v>
                </c:pt>
                <c:pt idx="11">
                  <c:v>46129</c:v>
                </c:pt>
                <c:pt idx="12">
                  <c:v>46130</c:v>
                </c:pt>
                <c:pt idx="13">
                  <c:v>46131</c:v>
                </c:pt>
                <c:pt idx="14">
                  <c:v>46132</c:v>
                </c:pt>
                <c:pt idx="15">
                  <c:v>46133</c:v>
                </c:pt>
              </c:numCache>
            </c:numRef>
          </c:cat>
          <c:val>
            <c:numRef>
              <c:f>'Sprint 2'!$H$84:$W$84</c:f>
              <c:numCache>
                <c:formatCode>General</c:formatCode>
                <c:ptCount val="16"/>
                <c:pt idx="0">
                  <c:v>134</c:v>
                </c:pt>
                <c:pt idx="1">
                  <c:v>124</c:v>
                </c:pt>
                <c:pt idx="2">
                  <c:v>120</c:v>
                </c:pt>
                <c:pt idx="3">
                  <c:v>116</c:v>
                </c:pt>
                <c:pt idx="4">
                  <c:v>112</c:v>
                </c:pt>
                <c:pt idx="5">
                  <c:v>94</c:v>
                </c:pt>
                <c:pt idx="6">
                  <c:v>81</c:v>
                </c:pt>
                <c:pt idx="7">
                  <c:v>71</c:v>
                </c:pt>
                <c:pt idx="8">
                  <c:v>66</c:v>
                </c:pt>
                <c:pt idx="9">
                  <c:v>59</c:v>
                </c:pt>
                <c:pt idx="10">
                  <c:v>46</c:v>
                </c:pt>
                <c:pt idx="11">
                  <c:v>39</c:v>
                </c:pt>
                <c:pt idx="12">
                  <c:v>28</c:v>
                </c:pt>
                <c:pt idx="13">
                  <c:v>21</c:v>
                </c:pt>
                <c:pt idx="14">
                  <c:v>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1-40BB-A227-F430FF68D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900273"/>
        <c:axId val="1270335049"/>
      </c:lineChart>
      <c:dateAx>
        <c:axId val="1936900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dd/mm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0335049"/>
        <c:crosses val="autoZero"/>
        <c:auto val="1"/>
        <c:lblOffset val="100"/>
        <c:baseTimeUnit val="days"/>
      </c:dateAx>
      <c:valAx>
        <c:axId val="1270335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69002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'Sprint 3'!$I$15:$Z$15</c:f>
              <c:numCache>
                <c:formatCode>dd/mm</c:formatCode>
                <c:ptCount val="18"/>
                <c:pt idx="0">
                  <c:v>46133</c:v>
                </c:pt>
                <c:pt idx="1">
                  <c:v>46134</c:v>
                </c:pt>
                <c:pt idx="2">
                  <c:v>46135</c:v>
                </c:pt>
                <c:pt idx="3">
                  <c:v>46136</c:v>
                </c:pt>
                <c:pt idx="4">
                  <c:v>46137</c:v>
                </c:pt>
                <c:pt idx="5">
                  <c:v>46138</c:v>
                </c:pt>
                <c:pt idx="6">
                  <c:v>46139</c:v>
                </c:pt>
                <c:pt idx="7">
                  <c:v>46140</c:v>
                </c:pt>
                <c:pt idx="8">
                  <c:v>46141</c:v>
                </c:pt>
                <c:pt idx="9">
                  <c:v>46142</c:v>
                </c:pt>
                <c:pt idx="10">
                  <c:v>46143</c:v>
                </c:pt>
                <c:pt idx="11">
                  <c:v>46144</c:v>
                </c:pt>
                <c:pt idx="12">
                  <c:v>46145</c:v>
                </c:pt>
                <c:pt idx="13">
                  <c:v>46146</c:v>
                </c:pt>
                <c:pt idx="14">
                  <c:v>46147</c:v>
                </c:pt>
                <c:pt idx="15">
                  <c:v>46148</c:v>
                </c:pt>
                <c:pt idx="16">
                  <c:v>46149</c:v>
                </c:pt>
                <c:pt idx="17">
                  <c:v>46150</c:v>
                </c:pt>
              </c:numCache>
            </c:numRef>
          </c:cat>
          <c:val>
            <c:numRef>
              <c:f>'Sprint 3'!$I$82:$Z$82</c:f>
              <c:numCache>
                <c:formatCode>General</c:formatCode>
                <c:ptCount val="18"/>
                <c:pt idx="0">
                  <c:v>130</c:v>
                </c:pt>
                <c:pt idx="1">
                  <c:v>119</c:v>
                </c:pt>
                <c:pt idx="2">
                  <c:v>116</c:v>
                </c:pt>
                <c:pt idx="3">
                  <c:v>110</c:v>
                </c:pt>
                <c:pt idx="4">
                  <c:v>101</c:v>
                </c:pt>
                <c:pt idx="5">
                  <c:v>92</c:v>
                </c:pt>
                <c:pt idx="6">
                  <c:v>89</c:v>
                </c:pt>
                <c:pt idx="7">
                  <c:v>80</c:v>
                </c:pt>
                <c:pt idx="8">
                  <c:v>67</c:v>
                </c:pt>
                <c:pt idx="9">
                  <c:v>65</c:v>
                </c:pt>
                <c:pt idx="10">
                  <c:v>67</c:v>
                </c:pt>
                <c:pt idx="11">
                  <c:v>58</c:v>
                </c:pt>
                <c:pt idx="12">
                  <c:v>51</c:v>
                </c:pt>
                <c:pt idx="13">
                  <c:v>38</c:v>
                </c:pt>
                <c:pt idx="14">
                  <c:v>28</c:v>
                </c:pt>
                <c:pt idx="15">
                  <c:v>21</c:v>
                </c:pt>
                <c:pt idx="16">
                  <c:v>11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9-405F-A293-B08F0D355153}"/>
            </c:ext>
          </c:extLst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'Sprint 3'!$I$15:$Z$15</c:f>
              <c:numCache>
                <c:formatCode>dd/mm</c:formatCode>
                <c:ptCount val="18"/>
                <c:pt idx="0">
                  <c:v>46133</c:v>
                </c:pt>
                <c:pt idx="1">
                  <c:v>46134</c:v>
                </c:pt>
                <c:pt idx="2">
                  <c:v>46135</c:v>
                </c:pt>
                <c:pt idx="3">
                  <c:v>46136</c:v>
                </c:pt>
                <c:pt idx="4">
                  <c:v>46137</c:v>
                </c:pt>
                <c:pt idx="5">
                  <c:v>46138</c:v>
                </c:pt>
                <c:pt idx="6">
                  <c:v>46139</c:v>
                </c:pt>
                <c:pt idx="7">
                  <c:v>46140</c:v>
                </c:pt>
                <c:pt idx="8">
                  <c:v>46141</c:v>
                </c:pt>
                <c:pt idx="9">
                  <c:v>46142</c:v>
                </c:pt>
                <c:pt idx="10">
                  <c:v>46143</c:v>
                </c:pt>
                <c:pt idx="11">
                  <c:v>46144</c:v>
                </c:pt>
                <c:pt idx="12">
                  <c:v>46145</c:v>
                </c:pt>
                <c:pt idx="13">
                  <c:v>46146</c:v>
                </c:pt>
                <c:pt idx="14">
                  <c:v>46147</c:v>
                </c:pt>
                <c:pt idx="15">
                  <c:v>46148</c:v>
                </c:pt>
                <c:pt idx="16">
                  <c:v>46149</c:v>
                </c:pt>
                <c:pt idx="17">
                  <c:v>46150</c:v>
                </c:pt>
              </c:numCache>
            </c:numRef>
          </c:cat>
          <c:val>
            <c:numRef>
              <c:f>'Sprint 3'!$I$83:$Z$83</c:f>
              <c:numCache>
                <c:formatCode>General</c:formatCode>
                <c:ptCount val="18"/>
                <c:pt idx="0">
                  <c:v>130</c:v>
                </c:pt>
                <c:pt idx="1">
                  <c:v>119</c:v>
                </c:pt>
                <c:pt idx="2">
                  <c:v>117</c:v>
                </c:pt>
                <c:pt idx="3">
                  <c:v>110</c:v>
                </c:pt>
                <c:pt idx="4">
                  <c:v>102</c:v>
                </c:pt>
                <c:pt idx="5">
                  <c:v>92</c:v>
                </c:pt>
                <c:pt idx="6">
                  <c:v>89</c:v>
                </c:pt>
                <c:pt idx="7">
                  <c:v>83</c:v>
                </c:pt>
                <c:pt idx="8">
                  <c:v>67</c:v>
                </c:pt>
                <c:pt idx="9">
                  <c:v>65</c:v>
                </c:pt>
                <c:pt idx="10">
                  <c:v>65</c:v>
                </c:pt>
                <c:pt idx="11">
                  <c:v>58</c:v>
                </c:pt>
                <c:pt idx="12">
                  <c:v>51</c:v>
                </c:pt>
                <c:pt idx="13">
                  <c:v>40</c:v>
                </c:pt>
                <c:pt idx="14">
                  <c:v>28</c:v>
                </c:pt>
                <c:pt idx="15">
                  <c:v>20</c:v>
                </c:pt>
                <c:pt idx="16">
                  <c:v>10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9-405F-A293-B08F0D355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6325612"/>
        <c:axId val="524040206"/>
      </c:lineChart>
      <c:dateAx>
        <c:axId val="656325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dd/mm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4040206"/>
        <c:crosses val="autoZero"/>
        <c:auto val="1"/>
        <c:lblOffset val="100"/>
        <c:baseTimeUnit val="days"/>
      </c:dateAx>
      <c:valAx>
        <c:axId val="524040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63256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1333500</xdr:colOff>
      <xdr:row>87</xdr:row>
      <xdr:rowOff>47625</xdr:rowOff>
    </xdr:from>
    <xdr:ext cx="11706225" cy="6657975"/>
    <xdr:graphicFrame macro="">
      <xdr:nvGraphicFramePr>
        <xdr:cNvPr id="1810172625" name="Chart 1">
          <a:extLst>
            <a:ext uri="{FF2B5EF4-FFF2-40B4-BE49-F238E27FC236}">
              <a16:creationId xmlns:a16="http://schemas.microsoft.com/office/drawing/2014/main" id="{00000000-0008-0000-0000-0000D10AE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87</xdr:row>
      <xdr:rowOff>9525</xdr:rowOff>
    </xdr:from>
    <xdr:ext cx="8858250" cy="3895725"/>
    <xdr:graphicFrame macro="">
      <xdr:nvGraphicFramePr>
        <xdr:cNvPr id="1302131135" name="Chart 3">
          <a:extLst>
            <a:ext uri="{FF2B5EF4-FFF2-40B4-BE49-F238E27FC236}">
              <a16:creationId xmlns:a16="http://schemas.microsoft.com/office/drawing/2014/main" id="{00000000-0008-0000-0100-0000BFF19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1257300</xdr:colOff>
      <xdr:row>83</xdr:row>
      <xdr:rowOff>161925</xdr:rowOff>
    </xdr:from>
    <xdr:ext cx="8020050" cy="4267200"/>
    <xdr:graphicFrame macro="">
      <xdr:nvGraphicFramePr>
        <xdr:cNvPr id="1867725033" name="Chart 4">
          <a:extLst>
            <a:ext uri="{FF2B5EF4-FFF2-40B4-BE49-F238E27FC236}">
              <a16:creationId xmlns:a16="http://schemas.microsoft.com/office/drawing/2014/main" id="{00000000-0008-0000-0200-0000E9385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6"/>
  <sheetViews>
    <sheetView zoomScale="85" zoomScaleNormal="85" workbookViewId="0">
      <selection activeCell="C1" sqref="C1"/>
    </sheetView>
  </sheetViews>
  <sheetFormatPr defaultColWidth="14.453125" defaultRowHeight="15" customHeight="1" x14ac:dyDescent="0.35"/>
  <cols>
    <col min="1" max="1" width="16" customWidth="1"/>
    <col min="2" max="2" width="20.26953125" customWidth="1"/>
    <col min="3" max="3" width="55.453125" customWidth="1"/>
    <col min="4" max="5" width="11" customWidth="1"/>
    <col min="6" max="6" width="20.54296875" customWidth="1"/>
    <col min="7" max="8" width="6.08984375" customWidth="1"/>
    <col min="9" max="9" width="6" customWidth="1"/>
    <col min="10" max="13" width="6.08984375" customWidth="1"/>
    <col min="14" max="14" width="6" customWidth="1"/>
    <col min="15" max="15" width="6.08984375" customWidth="1"/>
    <col min="16" max="20" width="6" customWidth="1"/>
    <col min="21" max="23" width="6.08984375" customWidth="1"/>
    <col min="24" max="24" width="9.54296875" customWidth="1"/>
  </cols>
  <sheetData>
    <row r="1" spans="1:24" ht="16.5" customHeight="1" x14ac:dyDescent="0.35">
      <c r="A1" s="55" t="s">
        <v>0</v>
      </c>
      <c r="B1" s="56"/>
      <c r="C1" s="1" t="s">
        <v>221</v>
      </c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customHeight="1" x14ac:dyDescent="0.35">
      <c r="A2" s="55" t="s">
        <v>2</v>
      </c>
      <c r="B2" s="56"/>
      <c r="C2" s="5" t="s">
        <v>3</v>
      </c>
      <c r="D2" s="2"/>
      <c r="E2" s="6"/>
      <c r="F2" s="7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 x14ac:dyDescent="0.35">
      <c r="A3" s="55" t="s">
        <v>5</v>
      </c>
      <c r="B3" s="56"/>
      <c r="C3" s="8">
        <v>46103</v>
      </c>
      <c r="D3" s="2"/>
      <c r="E3" s="9"/>
      <c r="F3" s="10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7.25" customHeight="1" x14ac:dyDescent="0.35">
      <c r="A4" s="55" t="s">
        <v>7</v>
      </c>
      <c r="B4" s="56"/>
      <c r="C4" s="8">
        <v>46117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 x14ac:dyDescent="0.35">
      <c r="A6" s="2"/>
      <c r="B6" s="60" t="s">
        <v>8</v>
      </c>
      <c r="C6" s="61"/>
      <c r="D6" s="61"/>
      <c r="E6" s="5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6.5" customHeight="1" x14ac:dyDescent="0.35">
      <c r="A7" s="2"/>
      <c r="B7" s="11" t="s">
        <v>9</v>
      </c>
      <c r="C7" s="11" t="s">
        <v>10</v>
      </c>
      <c r="D7" s="11" t="s">
        <v>11</v>
      </c>
      <c r="E7" s="11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 x14ac:dyDescent="0.35">
      <c r="A8" s="2"/>
      <c r="B8" s="12">
        <v>1</v>
      </c>
      <c r="C8" s="5" t="s">
        <v>13</v>
      </c>
      <c r="D8" s="5">
        <f ca="1">SUMIF($E$16:$F$84,"Hiệu",$G$16:$G$84)+SUMIF($E$16:$F$84,"All team",$G$16:$G$84)/5+SUMIF($E$16:$F$84,"Hiệu, Vinh",$G$16:$G$84)/2</f>
        <v>44.8</v>
      </c>
      <c r="E8" s="5">
        <f ca="1">SUMIF($E$16:$F$84,"Hiệu",$H$16:$H$84)+SUMIF($E$16:$F$84,"All team",$H$16:$H$84)/5+SUMIF($E$16:$F$84,"Hiệu, Vinh",$H$16:$H$84)/2</f>
        <v>44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customHeight="1" x14ac:dyDescent="0.35">
      <c r="A9" s="2"/>
      <c r="B9" s="12">
        <v>2</v>
      </c>
      <c r="C9" s="5" t="s">
        <v>14</v>
      </c>
      <c r="D9" s="5">
        <f ca="1">SUMIF($E$16:$F$84,"Thức",$G$16:$G$84)+SUMIF($E$16:$F$84,"All team",$G$16:$G$84)/5+SUMIF($E$16:$F$84,"Thức,Việt,Vinh,Tài",$G$16:$G$84)/4</f>
        <v>18.8</v>
      </c>
      <c r="E9" s="5">
        <f ca="1">SUMIF($E$16:$F$84,"Thức",$H$16:$H$84)+SUMIF($E$16:$F$84,"All team",$H$16:$H$84)/5+SUMIF($E$16:$F$84,"Thức,Việt,Vinh,Tài",$H$16:$H$84)/4</f>
        <v>20.5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6.5" customHeight="1" x14ac:dyDescent="0.35">
      <c r="A10" s="2"/>
      <c r="B10" s="12">
        <v>3</v>
      </c>
      <c r="C10" s="5" t="s">
        <v>15</v>
      </c>
      <c r="D10" s="5">
        <f ca="1">SUMIF($E$16:$F$84,"Tài",$G$16:$G$84)+SUMIF($E$16:$F$84,"All team",$G$16:$G$84)/5+SUMIF($E$16:$F$84,"Thức,Việt,Vinh,Tài",$G$16:$G$84)/4</f>
        <v>21.8</v>
      </c>
      <c r="E10" s="5">
        <f ca="1">SUMIF($E$16:$F$84,"Tài",$H$16:$H$84)+SUMIF($E$16:$F$84,"All team",$H$16:$H$84)/5+SUMIF($E$16:$F$84,"Thức,Việt,Vinh,Tài",$H$16:$H$84)/4</f>
        <v>24.5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6.5" customHeight="1" x14ac:dyDescent="0.35">
      <c r="A11" s="2"/>
      <c r="B11" s="12">
        <v>4</v>
      </c>
      <c r="C11" s="5" t="s">
        <v>16</v>
      </c>
      <c r="D11" s="5">
        <f ca="1">SUMIF($E$16:$F$84,"Vinh",$G$16:$G$84)+SUMIF($E$16:$F$84,"All team",$G$16:$G$84)/5+SUMIF($E$16:$F$84,"Thức,Việt,Vinh,Tài",$G$16:$G$84)/4+SUMIF($E$16:$F$84,"Hiệu, Vinh",$G$16:$G$84)/2</f>
        <v>23.8</v>
      </c>
      <c r="E11" s="5">
        <f ca="1">SUMIF($E$16:$F$84,"Vinh",$H$16:$H$84)+SUMIF($E$16:$F$84,"All team",$H$16:$H$84)/5+SUMIF($E$16:$F$84,"Thức,Việt,Vinh,Tài",$H$16:$H$84)/4+SUMIF($E$16:$F$84,"Hiệu, Vinh",$H$16:$H$84)/2</f>
        <v>26.5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6.5" customHeight="1" x14ac:dyDescent="0.35">
      <c r="A12" s="2"/>
      <c r="B12" s="12">
        <v>5</v>
      </c>
      <c r="C12" s="5" t="s">
        <v>17</v>
      </c>
      <c r="D12" s="5">
        <f ca="1">SUMIF($E$16:$F$84,"Việt",$G$16:$G$84)+SUMIF($E$16:$F$84,"All team",$G$16:$G$84)/5+SUMIF($E$16:$F$84,"Thức,Việt,Vinh,Tài",$G$16:$G$84)/4</f>
        <v>16.8</v>
      </c>
      <c r="E12" s="5">
        <f ca="1">SUMIF($E$16:$F$84,"Việt",$H$16:$H$84)+SUMIF($E$16:$F$84,"All team",$H$16:$H$84)/5+SUMIF($E$16:$F$84,"Thức,Việt,Vinh,Tài",$H$16:$H$84)/4</f>
        <v>18.5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6.5" customHeight="1" x14ac:dyDescent="0.35">
      <c r="A13" s="2"/>
      <c r="B13" s="60" t="s">
        <v>18</v>
      </c>
      <c r="C13" s="56"/>
      <c r="D13" s="13">
        <f t="shared" ref="D13:E13" ca="1" si="0">SUM(D8:D12)</f>
        <v>125.99999999999999</v>
      </c>
      <c r="E13" s="13">
        <f t="shared" ca="1" si="0"/>
        <v>134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6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62.25" customHeight="1" x14ac:dyDescent="0.35">
      <c r="A15" s="14" t="s">
        <v>19</v>
      </c>
      <c r="B15" s="14" t="s">
        <v>20</v>
      </c>
      <c r="C15" s="62" t="s">
        <v>21</v>
      </c>
      <c r="D15" s="51"/>
      <c r="E15" s="62" t="s">
        <v>22</v>
      </c>
      <c r="F15" s="51"/>
      <c r="G15" s="15" t="s">
        <v>11</v>
      </c>
      <c r="H15" s="15" t="s">
        <v>12</v>
      </c>
      <c r="I15" s="16">
        <v>46103</v>
      </c>
      <c r="J15" s="16">
        <v>46104</v>
      </c>
      <c r="K15" s="16">
        <v>46105</v>
      </c>
      <c r="L15" s="16">
        <v>46106</v>
      </c>
      <c r="M15" s="16">
        <v>46107</v>
      </c>
      <c r="N15" s="16">
        <v>46108</v>
      </c>
      <c r="O15" s="16">
        <v>46109</v>
      </c>
      <c r="P15" s="16">
        <v>46110</v>
      </c>
      <c r="Q15" s="16">
        <v>46111</v>
      </c>
      <c r="R15" s="16">
        <v>46112</v>
      </c>
      <c r="S15" s="16">
        <v>46113</v>
      </c>
      <c r="T15" s="16">
        <v>46114</v>
      </c>
      <c r="U15" s="16">
        <v>46115</v>
      </c>
      <c r="V15" s="16">
        <v>46116</v>
      </c>
      <c r="W15" s="16">
        <v>46117</v>
      </c>
      <c r="X15" s="16">
        <v>46118</v>
      </c>
    </row>
    <row r="16" spans="1:24" ht="16.5" customHeight="1" x14ac:dyDescent="0.35">
      <c r="A16" s="57" t="s">
        <v>3</v>
      </c>
      <c r="B16" s="50" t="s">
        <v>23</v>
      </c>
      <c r="C16" s="63"/>
      <c r="D16" s="51"/>
      <c r="E16" s="52" t="s">
        <v>24</v>
      </c>
      <c r="F16" s="51"/>
      <c r="G16" s="17">
        <v>10</v>
      </c>
      <c r="H16" s="17">
        <v>10</v>
      </c>
      <c r="I16" s="17">
        <v>1</v>
      </c>
      <c r="J16" s="18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spans="1:24" ht="16.5" customHeight="1" x14ac:dyDescent="0.35">
      <c r="A17" s="58"/>
      <c r="B17" s="50" t="s">
        <v>25</v>
      </c>
      <c r="C17" s="63"/>
      <c r="D17" s="51"/>
      <c r="E17" s="52" t="s">
        <v>26</v>
      </c>
      <c r="F17" s="51"/>
      <c r="G17" s="17">
        <v>4</v>
      </c>
      <c r="H17" s="17">
        <v>4</v>
      </c>
      <c r="I17" s="17">
        <v>4</v>
      </c>
      <c r="J17" s="17">
        <v>4</v>
      </c>
      <c r="K17" s="18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</row>
    <row r="18" spans="1:24" ht="16.5" customHeight="1" x14ac:dyDescent="0.35">
      <c r="A18" s="58"/>
      <c r="B18" s="50" t="s">
        <v>27</v>
      </c>
      <c r="C18" s="63"/>
      <c r="D18" s="51"/>
      <c r="E18" s="52" t="s">
        <v>28</v>
      </c>
      <c r="F18" s="51"/>
      <c r="G18" s="17">
        <v>4</v>
      </c>
      <c r="H18" s="17">
        <v>4</v>
      </c>
      <c r="I18" s="17">
        <v>4</v>
      </c>
      <c r="J18" s="17">
        <v>4</v>
      </c>
      <c r="K18" s="18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spans="1:24" ht="16.5" customHeight="1" x14ac:dyDescent="0.35">
      <c r="A19" s="58"/>
      <c r="B19" s="57" t="s">
        <v>29</v>
      </c>
      <c r="C19" s="50" t="s">
        <v>30</v>
      </c>
      <c r="D19" s="51"/>
      <c r="E19" s="52" t="s">
        <v>31</v>
      </c>
      <c r="F19" s="51"/>
      <c r="G19" s="17">
        <v>1</v>
      </c>
      <c r="H19" s="17">
        <v>1</v>
      </c>
      <c r="I19" s="17">
        <v>1</v>
      </c>
      <c r="J19" s="17">
        <v>1</v>
      </c>
      <c r="K19" s="17">
        <v>1</v>
      </c>
      <c r="L19" s="18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spans="1:24" ht="16.5" customHeight="1" x14ac:dyDescent="0.35">
      <c r="A20" s="58"/>
      <c r="B20" s="58"/>
      <c r="C20" s="50" t="s">
        <v>32</v>
      </c>
      <c r="D20" s="51"/>
      <c r="E20" s="52" t="s">
        <v>31</v>
      </c>
      <c r="F20" s="51"/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8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spans="1:24" ht="16.5" customHeight="1" x14ac:dyDescent="0.35">
      <c r="A21" s="58"/>
      <c r="B21" s="58"/>
      <c r="C21" s="50" t="s">
        <v>33</v>
      </c>
      <c r="D21" s="51"/>
      <c r="E21" s="52" t="s">
        <v>34</v>
      </c>
      <c r="F21" s="51"/>
      <c r="G21" s="17">
        <v>1</v>
      </c>
      <c r="H21" s="17">
        <v>2</v>
      </c>
      <c r="I21" s="17">
        <v>2</v>
      </c>
      <c r="J21" s="17">
        <v>2</v>
      </c>
      <c r="K21" s="17">
        <v>1</v>
      </c>
      <c r="L21" s="18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spans="1:24" ht="16.5" customHeight="1" x14ac:dyDescent="0.35">
      <c r="A22" s="58"/>
      <c r="B22" s="58"/>
      <c r="C22" s="50"/>
      <c r="D22" s="51"/>
      <c r="E22" s="52"/>
      <c r="F22" s="51"/>
      <c r="G22" s="17"/>
      <c r="H22" s="17"/>
      <c r="I22" s="17"/>
      <c r="J22" s="17"/>
      <c r="K22" s="17"/>
      <c r="L22" s="20">
        <v>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6.5" customHeight="1" x14ac:dyDescent="0.35">
      <c r="A23" s="58"/>
      <c r="B23" s="58"/>
      <c r="C23" s="50" t="s">
        <v>35</v>
      </c>
      <c r="D23" s="51"/>
      <c r="E23" s="52" t="s">
        <v>31</v>
      </c>
      <c r="F23" s="51"/>
      <c r="G23" s="17">
        <v>1</v>
      </c>
      <c r="H23" s="17">
        <v>2</v>
      </c>
      <c r="I23" s="17">
        <v>2</v>
      </c>
      <c r="J23" s="17">
        <v>2</v>
      </c>
      <c r="K23" s="17">
        <v>1</v>
      </c>
      <c r="L23" s="18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</row>
    <row r="24" spans="1:24" ht="16.5" customHeight="1" x14ac:dyDescent="0.35">
      <c r="A24" s="58"/>
      <c r="B24" s="58"/>
      <c r="C24" s="50"/>
      <c r="D24" s="51"/>
      <c r="E24" s="52"/>
      <c r="F24" s="51"/>
      <c r="G24" s="17"/>
      <c r="H24" s="17"/>
      <c r="I24" s="17"/>
      <c r="J24" s="17"/>
      <c r="K24" s="17"/>
      <c r="L24" s="20">
        <v>1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6.5" customHeight="1" x14ac:dyDescent="0.35">
      <c r="A25" s="58"/>
      <c r="B25" s="58"/>
      <c r="C25" s="50" t="s">
        <v>36</v>
      </c>
      <c r="D25" s="51"/>
      <c r="E25" s="52" t="s">
        <v>34</v>
      </c>
      <c r="F25" s="51"/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8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spans="1:24" ht="16.5" customHeight="1" x14ac:dyDescent="0.35">
      <c r="A26" s="58"/>
      <c r="B26" s="58"/>
      <c r="C26" s="50" t="s">
        <v>37</v>
      </c>
      <c r="D26" s="51"/>
      <c r="E26" s="52" t="s">
        <v>26</v>
      </c>
      <c r="F26" s="51"/>
      <c r="G26" s="17">
        <v>2</v>
      </c>
      <c r="H26" s="17">
        <v>2</v>
      </c>
      <c r="I26" s="17">
        <v>2</v>
      </c>
      <c r="J26" s="17">
        <v>2</v>
      </c>
      <c r="K26" s="17">
        <v>2</v>
      </c>
      <c r="L26" s="18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</row>
    <row r="27" spans="1:24" ht="16.5" customHeight="1" x14ac:dyDescent="0.35">
      <c r="A27" s="58"/>
      <c r="B27" s="58"/>
      <c r="C27" s="50" t="s">
        <v>38</v>
      </c>
      <c r="D27" s="51"/>
      <c r="E27" s="52" t="s">
        <v>34</v>
      </c>
      <c r="F27" s="51"/>
      <c r="G27" s="17">
        <v>2</v>
      </c>
      <c r="H27" s="17">
        <v>2</v>
      </c>
      <c r="I27" s="17">
        <v>2</v>
      </c>
      <c r="J27" s="17">
        <v>2</v>
      </c>
      <c r="K27" s="17">
        <v>2</v>
      </c>
      <c r="L27" s="18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</row>
    <row r="28" spans="1:24" ht="16.5" customHeight="1" x14ac:dyDescent="0.35">
      <c r="A28" s="58"/>
      <c r="B28" s="58"/>
      <c r="C28" s="50" t="s">
        <v>39</v>
      </c>
      <c r="D28" s="51"/>
      <c r="E28" s="52" t="s">
        <v>24</v>
      </c>
      <c r="F28" s="51"/>
      <c r="G28" s="17">
        <v>6</v>
      </c>
      <c r="H28" s="17">
        <v>10</v>
      </c>
      <c r="I28" s="17">
        <v>10</v>
      </c>
      <c r="J28" s="17">
        <v>10</v>
      </c>
      <c r="K28" s="17">
        <v>10</v>
      </c>
      <c r="L28" s="17">
        <v>6</v>
      </c>
      <c r="M28" s="18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</row>
    <row r="29" spans="1:24" ht="16.5" customHeight="1" x14ac:dyDescent="0.35">
      <c r="A29" s="58"/>
      <c r="B29" s="59"/>
      <c r="C29" s="50"/>
      <c r="D29" s="51"/>
      <c r="E29" s="52"/>
      <c r="F29" s="51"/>
      <c r="G29" s="17"/>
      <c r="H29" s="17"/>
      <c r="I29" s="17"/>
      <c r="J29" s="17"/>
      <c r="K29" s="17"/>
      <c r="L29" s="17"/>
      <c r="M29" s="20">
        <v>4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6.5" customHeight="1" x14ac:dyDescent="0.35">
      <c r="A30" s="58"/>
      <c r="B30" s="57" t="s">
        <v>40</v>
      </c>
      <c r="C30" s="50" t="s">
        <v>41</v>
      </c>
      <c r="D30" s="51"/>
      <c r="E30" s="52" t="s">
        <v>42</v>
      </c>
      <c r="F30" s="51"/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8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16.5" customHeight="1" x14ac:dyDescent="0.35">
      <c r="A31" s="58"/>
      <c r="B31" s="58"/>
      <c r="C31" s="50" t="s">
        <v>43</v>
      </c>
      <c r="D31" s="51"/>
      <c r="E31" s="52" t="s">
        <v>26</v>
      </c>
      <c r="F31" s="51"/>
      <c r="G31" s="17">
        <v>1</v>
      </c>
      <c r="H31" s="17">
        <v>1</v>
      </c>
      <c r="I31" s="17">
        <v>1</v>
      </c>
      <c r="J31" s="17">
        <v>1</v>
      </c>
      <c r="K31" s="17" t="s">
        <v>44</v>
      </c>
      <c r="L31" s="17">
        <v>1</v>
      </c>
      <c r="M31" s="17">
        <v>1</v>
      </c>
      <c r="N31" s="18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16.5" customHeight="1" x14ac:dyDescent="0.35">
      <c r="A32" s="58"/>
      <c r="B32" s="58"/>
      <c r="C32" s="50" t="s">
        <v>45</v>
      </c>
      <c r="D32" s="51"/>
      <c r="E32" s="52" t="s">
        <v>34</v>
      </c>
      <c r="F32" s="51"/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8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16.5" customHeight="1" x14ac:dyDescent="0.35">
      <c r="A33" s="58"/>
      <c r="B33" s="58"/>
      <c r="C33" s="50" t="s">
        <v>46</v>
      </c>
      <c r="D33" s="51"/>
      <c r="E33" s="52" t="s">
        <v>26</v>
      </c>
      <c r="F33" s="51"/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8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ht="16.5" customHeight="1" x14ac:dyDescent="0.35">
      <c r="A34" s="58"/>
      <c r="B34" s="58"/>
      <c r="C34" s="50" t="s">
        <v>47</v>
      </c>
      <c r="D34" s="51"/>
      <c r="E34" s="52" t="s">
        <v>42</v>
      </c>
      <c r="F34" s="51"/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8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ht="16.5" customHeight="1" x14ac:dyDescent="0.35">
      <c r="A35" s="58"/>
      <c r="B35" s="58"/>
      <c r="C35" s="50" t="s">
        <v>48</v>
      </c>
      <c r="D35" s="51"/>
      <c r="E35" s="52" t="s">
        <v>31</v>
      </c>
      <c r="F35" s="51"/>
      <c r="G35" s="17">
        <v>2</v>
      </c>
      <c r="H35" s="17">
        <v>2</v>
      </c>
      <c r="I35" s="17">
        <v>2</v>
      </c>
      <c r="J35" s="17">
        <v>2</v>
      </c>
      <c r="K35" s="17">
        <v>2</v>
      </c>
      <c r="L35" s="17">
        <v>2</v>
      </c>
      <c r="M35" s="17">
        <v>2</v>
      </c>
      <c r="N35" s="18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ht="16.5" customHeight="1" x14ac:dyDescent="0.35">
      <c r="A36" s="58"/>
      <c r="B36" s="58"/>
      <c r="C36" s="50" t="s">
        <v>49</v>
      </c>
      <c r="D36" s="51"/>
      <c r="E36" s="52" t="s">
        <v>31</v>
      </c>
      <c r="F36" s="51"/>
      <c r="G36" s="17">
        <v>2</v>
      </c>
      <c r="H36" s="17">
        <v>2</v>
      </c>
      <c r="I36" s="17">
        <v>2</v>
      </c>
      <c r="J36" s="17">
        <v>2</v>
      </c>
      <c r="K36" s="17">
        <v>2</v>
      </c>
      <c r="L36" s="17">
        <v>2</v>
      </c>
      <c r="M36" s="17">
        <v>2</v>
      </c>
      <c r="N36" s="18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ht="16.5" customHeight="1" x14ac:dyDescent="0.35">
      <c r="A37" s="58"/>
      <c r="B37" s="58"/>
      <c r="C37" s="50" t="s">
        <v>50</v>
      </c>
      <c r="D37" s="51"/>
      <c r="E37" s="52" t="s">
        <v>24</v>
      </c>
      <c r="F37" s="51"/>
      <c r="G37" s="17">
        <v>8</v>
      </c>
      <c r="H37" s="17">
        <v>10</v>
      </c>
      <c r="I37" s="17">
        <v>10</v>
      </c>
      <c r="J37" s="17">
        <v>10</v>
      </c>
      <c r="K37" s="17">
        <v>10</v>
      </c>
      <c r="L37" s="17">
        <v>10</v>
      </c>
      <c r="M37" s="17">
        <v>10</v>
      </c>
      <c r="N37" s="17">
        <v>8</v>
      </c>
      <c r="O37" s="18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ht="16.5" customHeight="1" x14ac:dyDescent="0.35">
      <c r="A38" s="58"/>
      <c r="B38" s="59"/>
      <c r="C38" s="50"/>
      <c r="D38" s="51"/>
      <c r="E38" s="52"/>
      <c r="F38" s="51"/>
      <c r="G38" s="17"/>
      <c r="H38" s="17"/>
      <c r="I38" s="17"/>
      <c r="J38" s="17"/>
      <c r="K38" s="17"/>
      <c r="L38" s="17"/>
      <c r="M38" s="17"/>
      <c r="N38" s="17"/>
      <c r="O38" s="20">
        <v>2</v>
      </c>
      <c r="P38" s="17"/>
      <c r="Q38" s="17"/>
      <c r="R38" s="17"/>
      <c r="S38" s="17"/>
      <c r="T38" s="17"/>
      <c r="U38" s="17"/>
      <c r="V38" s="17"/>
      <c r="W38" s="17"/>
      <c r="X38" s="17"/>
    </row>
    <row r="39" spans="1:24" ht="16.5" customHeight="1" x14ac:dyDescent="0.35">
      <c r="A39" s="58"/>
      <c r="B39" s="57" t="s">
        <v>51</v>
      </c>
      <c r="C39" s="50" t="s">
        <v>52</v>
      </c>
      <c r="D39" s="51"/>
      <c r="E39" s="52" t="s">
        <v>53</v>
      </c>
      <c r="F39" s="51"/>
      <c r="G39" s="17">
        <v>2</v>
      </c>
      <c r="H39" s="17">
        <v>2</v>
      </c>
      <c r="I39" s="17">
        <v>2</v>
      </c>
      <c r="J39" s="17">
        <v>2</v>
      </c>
      <c r="K39" s="17">
        <v>2</v>
      </c>
      <c r="L39" s="17">
        <v>2</v>
      </c>
      <c r="M39" s="17">
        <v>2</v>
      </c>
      <c r="N39" s="17">
        <v>2</v>
      </c>
      <c r="O39" s="17">
        <v>2</v>
      </c>
      <c r="P39" s="18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ht="16.5" customHeight="1" x14ac:dyDescent="0.35">
      <c r="A40" s="58"/>
      <c r="B40" s="58"/>
      <c r="C40" s="50" t="s">
        <v>54</v>
      </c>
      <c r="D40" s="51"/>
      <c r="E40" s="52" t="s">
        <v>53</v>
      </c>
      <c r="F40" s="51"/>
      <c r="G40" s="17">
        <v>2</v>
      </c>
      <c r="H40" s="17">
        <v>2</v>
      </c>
      <c r="I40" s="17">
        <v>2</v>
      </c>
      <c r="J40" s="17">
        <v>2</v>
      </c>
      <c r="K40" s="17">
        <v>2</v>
      </c>
      <c r="L40" s="17">
        <v>2</v>
      </c>
      <c r="M40" s="17">
        <v>2</v>
      </c>
      <c r="N40" s="17">
        <v>2</v>
      </c>
      <c r="O40" s="17">
        <v>2</v>
      </c>
      <c r="P40" s="18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  <row r="41" spans="1:24" ht="16.5" customHeight="1" x14ac:dyDescent="0.35">
      <c r="A41" s="58"/>
      <c r="B41" s="58"/>
      <c r="C41" s="50" t="s">
        <v>55</v>
      </c>
      <c r="D41" s="51"/>
      <c r="E41" s="52" t="s">
        <v>53</v>
      </c>
      <c r="F41" s="51"/>
      <c r="G41" s="17">
        <v>2</v>
      </c>
      <c r="H41" s="17">
        <v>2</v>
      </c>
      <c r="I41" s="17">
        <v>2</v>
      </c>
      <c r="J41" s="17">
        <v>2</v>
      </c>
      <c r="K41" s="17">
        <v>2</v>
      </c>
      <c r="L41" s="17">
        <v>2</v>
      </c>
      <c r="M41" s="17">
        <v>2</v>
      </c>
      <c r="N41" s="17">
        <v>2</v>
      </c>
      <c r="O41" s="17">
        <v>2</v>
      </c>
      <c r="P41" s="18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</row>
    <row r="42" spans="1:24" ht="16.5" customHeight="1" x14ac:dyDescent="0.35">
      <c r="A42" s="58"/>
      <c r="B42" s="58"/>
      <c r="C42" s="50" t="s">
        <v>56</v>
      </c>
      <c r="D42" s="51"/>
      <c r="E42" s="52" t="s">
        <v>53</v>
      </c>
      <c r="F42" s="51"/>
      <c r="G42" s="17">
        <v>2</v>
      </c>
      <c r="H42" s="17">
        <v>2</v>
      </c>
      <c r="I42" s="17">
        <v>2</v>
      </c>
      <c r="J42" s="17">
        <v>2</v>
      </c>
      <c r="K42" s="17">
        <v>2</v>
      </c>
      <c r="L42" s="17">
        <v>2</v>
      </c>
      <c r="M42" s="17">
        <v>2</v>
      </c>
      <c r="N42" s="17">
        <v>2</v>
      </c>
      <c r="O42" s="17">
        <v>2</v>
      </c>
      <c r="P42" s="18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</row>
    <row r="43" spans="1:24" ht="16.5" customHeight="1" x14ac:dyDescent="0.35">
      <c r="A43" s="58"/>
      <c r="B43" s="58"/>
      <c r="C43" s="50" t="s">
        <v>57</v>
      </c>
      <c r="D43" s="51"/>
      <c r="E43" s="52" t="s">
        <v>53</v>
      </c>
      <c r="F43" s="51"/>
      <c r="G43" s="17">
        <v>2</v>
      </c>
      <c r="H43" s="17">
        <v>2</v>
      </c>
      <c r="I43" s="17">
        <v>2</v>
      </c>
      <c r="J43" s="17">
        <v>2</v>
      </c>
      <c r="K43" s="17">
        <v>2</v>
      </c>
      <c r="L43" s="17">
        <v>2</v>
      </c>
      <c r="M43" s="17">
        <v>2</v>
      </c>
      <c r="N43" s="17">
        <v>2</v>
      </c>
      <c r="O43" s="17">
        <v>2</v>
      </c>
      <c r="P43" s="17">
        <v>2</v>
      </c>
      <c r="Q43" s="18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</row>
    <row r="44" spans="1:24" ht="16.5" customHeight="1" x14ac:dyDescent="0.35">
      <c r="A44" s="58"/>
      <c r="B44" s="58"/>
      <c r="C44" s="50" t="s">
        <v>58</v>
      </c>
      <c r="D44" s="51"/>
      <c r="E44" s="52" t="s">
        <v>53</v>
      </c>
      <c r="F44" s="51"/>
      <c r="G44" s="17">
        <v>2</v>
      </c>
      <c r="H44" s="17">
        <v>2</v>
      </c>
      <c r="I44" s="17">
        <v>2</v>
      </c>
      <c r="J44" s="17">
        <v>2</v>
      </c>
      <c r="K44" s="17">
        <v>2</v>
      </c>
      <c r="L44" s="17">
        <v>2</v>
      </c>
      <c r="M44" s="17">
        <v>2</v>
      </c>
      <c r="N44" s="17">
        <v>2</v>
      </c>
      <c r="O44" s="17">
        <v>2</v>
      </c>
      <c r="P44" s="17">
        <v>2</v>
      </c>
      <c r="Q44" s="18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</row>
    <row r="45" spans="1:24" ht="16.5" customHeight="1" x14ac:dyDescent="0.35">
      <c r="A45" s="58"/>
      <c r="B45" s="58"/>
      <c r="C45" s="50" t="s">
        <v>59</v>
      </c>
      <c r="D45" s="51"/>
      <c r="E45" s="52" t="s">
        <v>53</v>
      </c>
      <c r="F45" s="51"/>
      <c r="G45" s="17">
        <v>2</v>
      </c>
      <c r="H45" s="17">
        <v>2</v>
      </c>
      <c r="I45" s="17">
        <v>2</v>
      </c>
      <c r="J45" s="17">
        <v>2</v>
      </c>
      <c r="K45" s="17">
        <v>2</v>
      </c>
      <c r="L45" s="17">
        <v>2</v>
      </c>
      <c r="M45" s="17">
        <v>2</v>
      </c>
      <c r="N45" s="17">
        <v>2</v>
      </c>
      <c r="O45" s="17">
        <v>2</v>
      </c>
      <c r="P45" s="17">
        <v>2</v>
      </c>
      <c r="Q45" s="18">
        <v>0</v>
      </c>
      <c r="R45" s="17">
        <v>0</v>
      </c>
      <c r="S45" s="17">
        <v>0</v>
      </c>
      <c r="T45" s="17">
        <v>2</v>
      </c>
      <c r="U45" s="17">
        <v>0</v>
      </c>
      <c r="V45" s="17">
        <v>0</v>
      </c>
      <c r="W45" s="17">
        <v>0</v>
      </c>
      <c r="X45" s="17">
        <v>0</v>
      </c>
    </row>
    <row r="46" spans="1:24" ht="16.5" customHeight="1" x14ac:dyDescent="0.35">
      <c r="A46" s="58"/>
      <c r="B46" s="58"/>
      <c r="C46" s="50" t="s">
        <v>60</v>
      </c>
      <c r="D46" s="51"/>
      <c r="E46" s="52" t="s">
        <v>53</v>
      </c>
      <c r="F46" s="51"/>
      <c r="G46" s="17">
        <v>2</v>
      </c>
      <c r="H46" s="17">
        <v>2</v>
      </c>
      <c r="I46" s="17">
        <v>2</v>
      </c>
      <c r="J46" s="17">
        <v>2</v>
      </c>
      <c r="K46" s="17">
        <v>2</v>
      </c>
      <c r="L46" s="17">
        <v>2</v>
      </c>
      <c r="M46" s="17">
        <v>2</v>
      </c>
      <c r="N46" s="17">
        <v>2</v>
      </c>
      <c r="O46" s="17">
        <v>2</v>
      </c>
      <c r="P46" s="17">
        <v>2</v>
      </c>
      <c r="Q46" s="18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</row>
    <row r="47" spans="1:24" ht="16.5" customHeight="1" x14ac:dyDescent="0.35">
      <c r="A47" s="58"/>
      <c r="B47" s="58"/>
      <c r="C47" s="50" t="s">
        <v>61</v>
      </c>
      <c r="D47" s="51"/>
      <c r="E47" s="52" t="s">
        <v>53</v>
      </c>
      <c r="F47" s="51"/>
      <c r="G47" s="17">
        <v>1</v>
      </c>
      <c r="H47" s="17">
        <v>1</v>
      </c>
      <c r="I47" s="17">
        <v>1</v>
      </c>
      <c r="J47" s="17">
        <v>1</v>
      </c>
      <c r="K47" s="17">
        <v>1</v>
      </c>
      <c r="L47" s="17">
        <v>1</v>
      </c>
      <c r="M47" s="17">
        <v>1</v>
      </c>
      <c r="N47" s="17">
        <v>1</v>
      </c>
      <c r="O47" s="17">
        <v>1</v>
      </c>
      <c r="P47" s="17">
        <v>1</v>
      </c>
      <c r="Q47" s="17">
        <v>1</v>
      </c>
      <c r="R47" s="18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</row>
    <row r="48" spans="1:24" ht="16.5" customHeight="1" x14ac:dyDescent="0.35">
      <c r="A48" s="58"/>
      <c r="B48" s="58"/>
      <c r="C48" s="50" t="s">
        <v>62</v>
      </c>
      <c r="D48" s="51"/>
      <c r="E48" s="52" t="s">
        <v>53</v>
      </c>
      <c r="F48" s="51"/>
      <c r="G48" s="17">
        <v>1</v>
      </c>
      <c r="H48" s="17">
        <v>1</v>
      </c>
      <c r="I48" s="17">
        <v>4</v>
      </c>
      <c r="J48" s="17">
        <v>4</v>
      </c>
      <c r="K48" s="17">
        <v>4</v>
      </c>
      <c r="L48" s="17">
        <v>4</v>
      </c>
      <c r="M48" s="17">
        <v>4</v>
      </c>
      <c r="N48" s="17">
        <v>4</v>
      </c>
      <c r="O48" s="17">
        <v>4</v>
      </c>
      <c r="P48" s="17">
        <v>4</v>
      </c>
      <c r="Q48" s="17">
        <v>4</v>
      </c>
      <c r="R48" s="18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</row>
    <row r="49" spans="1:24" ht="16.5" customHeight="1" x14ac:dyDescent="0.35">
      <c r="A49" s="58"/>
      <c r="B49" s="58"/>
      <c r="C49" s="50" t="s">
        <v>63</v>
      </c>
      <c r="D49" s="51"/>
      <c r="E49" s="52" t="s">
        <v>53</v>
      </c>
      <c r="F49" s="51"/>
      <c r="G49" s="17">
        <v>4</v>
      </c>
      <c r="H49" s="17">
        <v>4</v>
      </c>
      <c r="I49" s="17">
        <v>4</v>
      </c>
      <c r="J49" s="17">
        <v>4</v>
      </c>
      <c r="K49" s="17">
        <v>4</v>
      </c>
      <c r="L49" s="17">
        <v>4</v>
      </c>
      <c r="M49" s="17">
        <v>4</v>
      </c>
      <c r="N49" s="17">
        <v>4</v>
      </c>
      <c r="O49" s="17">
        <v>4</v>
      </c>
      <c r="P49" s="17">
        <v>4</v>
      </c>
      <c r="Q49" s="17">
        <v>4</v>
      </c>
      <c r="R49" s="18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</row>
    <row r="50" spans="1:24" ht="16.5" customHeight="1" x14ac:dyDescent="0.35">
      <c r="A50" s="58"/>
      <c r="B50" s="58"/>
      <c r="C50" s="50" t="s">
        <v>64</v>
      </c>
      <c r="D50" s="51"/>
      <c r="E50" s="52" t="s">
        <v>53</v>
      </c>
      <c r="F50" s="51"/>
      <c r="G50" s="17">
        <v>4</v>
      </c>
      <c r="H50" s="17">
        <v>2</v>
      </c>
      <c r="I50" s="17">
        <v>2</v>
      </c>
      <c r="J50" s="17">
        <v>2</v>
      </c>
      <c r="K50" s="17">
        <v>2</v>
      </c>
      <c r="L50" s="17">
        <v>2</v>
      </c>
      <c r="M50" s="17">
        <v>2</v>
      </c>
      <c r="N50" s="17">
        <v>2</v>
      </c>
      <c r="O50" s="17">
        <v>2</v>
      </c>
      <c r="P50" s="17">
        <v>2</v>
      </c>
      <c r="Q50" s="17">
        <v>2</v>
      </c>
      <c r="R50" s="18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</row>
    <row r="51" spans="1:24" ht="16.5" customHeight="1" x14ac:dyDescent="0.35">
      <c r="A51" s="58"/>
      <c r="B51" s="58"/>
      <c r="C51" s="50"/>
      <c r="D51" s="51"/>
      <c r="E51" s="52"/>
      <c r="F51" s="51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6">
        <v>2</v>
      </c>
      <c r="S51" s="17"/>
      <c r="T51" s="17"/>
      <c r="U51" s="17"/>
      <c r="V51" s="17"/>
      <c r="W51" s="17"/>
      <c r="X51" s="17"/>
    </row>
    <row r="52" spans="1:24" ht="16.5" customHeight="1" x14ac:dyDescent="0.35">
      <c r="A52" s="58"/>
      <c r="B52" s="58"/>
      <c r="C52" s="50" t="s">
        <v>65</v>
      </c>
      <c r="D52" s="51"/>
      <c r="E52" s="52" t="s">
        <v>53</v>
      </c>
      <c r="F52" s="51"/>
      <c r="G52" s="17">
        <v>4</v>
      </c>
      <c r="H52" s="17">
        <v>4</v>
      </c>
      <c r="I52" s="17">
        <v>4</v>
      </c>
      <c r="J52" s="17">
        <v>4</v>
      </c>
      <c r="K52" s="17">
        <v>4</v>
      </c>
      <c r="L52" s="17">
        <v>4</v>
      </c>
      <c r="M52" s="17">
        <v>4</v>
      </c>
      <c r="N52" s="17">
        <v>4</v>
      </c>
      <c r="O52" s="17">
        <v>4</v>
      </c>
      <c r="P52" s="17">
        <v>4</v>
      </c>
      <c r="Q52" s="17">
        <v>4</v>
      </c>
      <c r="R52" s="17">
        <v>4</v>
      </c>
      <c r="S52" s="18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</row>
    <row r="53" spans="1:24" ht="16.5" customHeight="1" x14ac:dyDescent="0.35">
      <c r="A53" s="58"/>
      <c r="B53" s="58"/>
      <c r="C53" s="50" t="s">
        <v>66</v>
      </c>
      <c r="D53" s="51"/>
      <c r="E53" s="52" t="s">
        <v>53</v>
      </c>
      <c r="F53" s="51"/>
      <c r="G53" s="17">
        <v>4</v>
      </c>
      <c r="H53" s="17">
        <v>4</v>
      </c>
      <c r="I53" s="17">
        <v>4</v>
      </c>
      <c r="J53" s="17">
        <v>4</v>
      </c>
      <c r="K53" s="17">
        <v>4</v>
      </c>
      <c r="L53" s="17">
        <v>4</v>
      </c>
      <c r="M53" s="17">
        <v>4</v>
      </c>
      <c r="N53" s="17">
        <v>4</v>
      </c>
      <c r="O53" s="17">
        <v>4</v>
      </c>
      <c r="P53" s="17">
        <v>4</v>
      </c>
      <c r="Q53" s="17">
        <v>4</v>
      </c>
      <c r="R53" s="17">
        <v>4</v>
      </c>
      <c r="S53" s="18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</row>
    <row r="54" spans="1:24" ht="16.5" customHeight="1" x14ac:dyDescent="0.35">
      <c r="A54" s="58"/>
      <c r="B54" s="58"/>
      <c r="C54" s="50" t="s">
        <v>67</v>
      </c>
      <c r="D54" s="51"/>
      <c r="E54" s="52" t="s">
        <v>28</v>
      </c>
      <c r="F54" s="51"/>
      <c r="G54" s="17">
        <v>8</v>
      </c>
      <c r="H54" s="17">
        <v>10</v>
      </c>
      <c r="I54" s="17">
        <v>10</v>
      </c>
      <c r="J54" s="17">
        <v>10</v>
      </c>
      <c r="K54" s="17">
        <v>10</v>
      </c>
      <c r="L54" s="17">
        <v>10</v>
      </c>
      <c r="M54" s="17">
        <v>10</v>
      </c>
      <c r="N54" s="17">
        <v>10</v>
      </c>
      <c r="O54" s="17">
        <v>10</v>
      </c>
      <c r="P54" s="17">
        <v>10</v>
      </c>
      <c r="Q54" s="17">
        <v>10</v>
      </c>
      <c r="R54" s="17">
        <v>10</v>
      </c>
      <c r="S54" s="17">
        <v>8</v>
      </c>
      <c r="T54" s="18">
        <v>0</v>
      </c>
      <c r="U54" s="17">
        <v>0</v>
      </c>
      <c r="V54" s="17">
        <v>0</v>
      </c>
      <c r="W54" s="17">
        <v>0</v>
      </c>
      <c r="X54" s="17">
        <v>0</v>
      </c>
    </row>
    <row r="55" spans="1:24" ht="16.5" customHeight="1" x14ac:dyDescent="0.35">
      <c r="A55" s="58"/>
      <c r="B55" s="59"/>
      <c r="C55" s="52"/>
      <c r="D55" s="51"/>
      <c r="E55" s="52"/>
      <c r="F55" s="51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0">
        <v>2</v>
      </c>
      <c r="U55" s="17"/>
      <c r="V55" s="17"/>
      <c r="W55" s="17"/>
      <c r="X55" s="17"/>
    </row>
    <row r="56" spans="1:24" ht="16.5" customHeight="1" x14ac:dyDescent="0.35">
      <c r="A56" s="58"/>
      <c r="B56" s="57" t="s">
        <v>68</v>
      </c>
      <c r="C56" s="50" t="s">
        <v>69</v>
      </c>
      <c r="D56" s="51"/>
      <c r="E56" s="52" t="s">
        <v>42</v>
      </c>
      <c r="F56" s="51"/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>
        <v>1</v>
      </c>
      <c r="P56" s="17">
        <v>1</v>
      </c>
      <c r="Q56" s="17">
        <v>1</v>
      </c>
      <c r="R56" s="17">
        <v>1</v>
      </c>
      <c r="S56" s="17">
        <v>1</v>
      </c>
      <c r="T56" s="17">
        <v>1</v>
      </c>
      <c r="U56" s="18">
        <v>0</v>
      </c>
      <c r="V56" s="17">
        <v>0</v>
      </c>
      <c r="W56" s="17">
        <v>0</v>
      </c>
      <c r="X56" s="17">
        <v>0</v>
      </c>
    </row>
    <row r="57" spans="1:24" ht="16.5" customHeight="1" x14ac:dyDescent="0.35">
      <c r="A57" s="58"/>
      <c r="B57" s="58"/>
      <c r="C57" s="50" t="s">
        <v>70</v>
      </c>
      <c r="D57" s="51"/>
      <c r="E57" s="52" t="s">
        <v>26</v>
      </c>
      <c r="F57" s="51"/>
      <c r="G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1</v>
      </c>
      <c r="M57" s="17">
        <v>1</v>
      </c>
      <c r="N57" s="17">
        <v>1</v>
      </c>
      <c r="O57" s="17">
        <v>1</v>
      </c>
      <c r="P57" s="17">
        <v>1</v>
      </c>
      <c r="Q57" s="17">
        <v>1</v>
      </c>
      <c r="R57" s="17">
        <v>1</v>
      </c>
      <c r="S57" s="17">
        <v>1</v>
      </c>
      <c r="T57" s="17">
        <v>1</v>
      </c>
      <c r="U57" s="18">
        <v>0</v>
      </c>
      <c r="V57" s="17">
        <v>0</v>
      </c>
      <c r="W57" s="17">
        <v>0</v>
      </c>
      <c r="X57" s="17">
        <v>0</v>
      </c>
    </row>
    <row r="58" spans="1:24" ht="16.5" customHeight="1" x14ac:dyDescent="0.35">
      <c r="A58" s="58"/>
      <c r="B58" s="58"/>
      <c r="C58" s="50" t="s">
        <v>71</v>
      </c>
      <c r="D58" s="51"/>
      <c r="E58" s="52" t="s">
        <v>34</v>
      </c>
      <c r="F58" s="51"/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8">
        <v>0</v>
      </c>
      <c r="V58" s="17">
        <v>0</v>
      </c>
      <c r="W58" s="17">
        <v>0</v>
      </c>
      <c r="X58" s="17">
        <v>0</v>
      </c>
    </row>
    <row r="59" spans="1:24" ht="16.5" customHeight="1" x14ac:dyDescent="0.35">
      <c r="A59" s="58"/>
      <c r="B59" s="58"/>
      <c r="C59" s="50" t="s">
        <v>72</v>
      </c>
      <c r="D59" s="51"/>
      <c r="E59" s="52" t="s">
        <v>26</v>
      </c>
      <c r="F59" s="51"/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7">
        <v>1</v>
      </c>
      <c r="U59" s="18">
        <v>0</v>
      </c>
      <c r="V59" s="17">
        <v>0</v>
      </c>
      <c r="W59" s="17">
        <v>0</v>
      </c>
      <c r="X59" s="17">
        <v>0</v>
      </c>
    </row>
    <row r="60" spans="1:24" ht="16.5" customHeight="1" x14ac:dyDescent="0.35">
      <c r="A60" s="58"/>
      <c r="B60" s="58"/>
      <c r="C60" s="50" t="s">
        <v>73</v>
      </c>
      <c r="D60" s="51"/>
      <c r="E60" s="52" t="s">
        <v>42</v>
      </c>
      <c r="F60" s="51"/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7">
        <v>1</v>
      </c>
      <c r="U60" s="18">
        <v>0</v>
      </c>
      <c r="V60" s="17">
        <v>0</v>
      </c>
      <c r="W60" s="17">
        <v>0</v>
      </c>
      <c r="X60" s="17">
        <v>0</v>
      </c>
    </row>
    <row r="61" spans="1:24" ht="16.5" customHeight="1" x14ac:dyDescent="0.35">
      <c r="A61" s="58"/>
      <c r="B61" s="58"/>
      <c r="C61" s="50" t="s">
        <v>74</v>
      </c>
      <c r="D61" s="51"/>
      <c r="E61" s="52" t="s">
        <v>31</v>
      </c>
      <c r="F61" s="51"/>
      <c r="G61" s="17">
        <v>2</v>
      </c>
      <c r="H61" s="17">
        <v>1</v>
      </c>
      <c r="I61" s="17">
        <v>1</v>
      </c>
      <c r="J61" s="17">
        <v>1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8">
        <v>0</v>
      </c>
      <c r="V61" s="17">
        <v>0</v>
      </c>
      <c r="W61" s="17">
        <v>0</v>
      </c>
      <c r="X61" s="17">
        <v>0</v>
      </c>
    </row>
    <row r="62" spans="1:24" ht="16.5" customHeight="1" x14ac:dyDescent="0.35">
      <c r="A62" s="58"/>
      <c r="B62" s="58"/>
      <c r="C62" s="50"/>
      <c r="D62" s="51"/>
      <c r="E62" s="52"/>
      <c r="F62" s="51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6">
        <v>1</v>
      </c>
      <c r="V62" s="17"/>
      <c r="W62" s="17"/>
      <c r="X62" s="17"/>
    </row>
    <row r="63" spans="1:24" ht="16.5" customHeight="1" x14ac:dyDescent="0.35">
      <c r="A63" s="58"/>
      <c r="B63" s="59"/>
      <c r="C63" s="50" t="s">
        <v>75</v>
      </c>
      <c r="D63" s="51"/>
      <c r="E63" s="52" t="s">
        <v>34</v>
      </c>
      <c r="F63" s="51"/>
      <c r="G63" s="17">
        <v>2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8">
        <v>0</v>
      </c>
      <c r="V63" s="17">
        <v>0</v>
      </c>
      <c r="W63" s="17">
        <v>0</v>
      </c>
      <c r="X63" s="17">
        <v>0</v>
      </c>
    </row>
    <row r="64" spans="1:24" ht="16.5" customHeight="1" x14ac:dyDescent="0.35">
      <c r="A64" s="58"/>
      <c r="B64" s="21"/>
      <c r="C64" s="50"/>
      <c r="D64" s="51"/>
      <c r="E64" s="52"/>
      <c r="F64" s="51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6">
        <v>1</v>
      </c>
      <c r="V64" s="17"/>
      <c r="W64" s="17"/>
      <c r="X64" s="17"/>
    </row>
    <row r="65" spans="1:24" ht="16.5" customHeight="1" x14ac:dyDescent="0.35">
      <c r="A65" s="58"/>
      <c r="B65" s="57" t="s">
        <v>76</v>
      </c>
      <c r="C65" s="50" t="s">
        <v>77</v>
      </c>
      <c r="D65" s="51"/>
      <c r="E65" s="52" t="s">
        <v>78</v>
      </c>
      <c r="F65" s="51"/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8">
        <v>0</v>
      </c>
      <c r="W65" s="17">
        <v>0</v>
      </c>
      <c r="X65" s="17">
        <v>0</v>
      </c>
    </row>
    <row r="66" spans="1:24" ht="16.5" customHeight="1" x14ac:dyDescent="0.35">
      <c r="A66" s="58"/>
      <c r="B66" s="58"/>
      <c r="C66" s="50" t="s">
        <v>79</v>
      </c>
      <c r="D66" s="51"/>
      <c r="E66" s="52" t="s">
        <v>78</v>
      </c>
      <c r="F66" s="51"/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8">
        <v>0</v>
      </c>
      <c r="W66" s="17">
        <v>0</v>
      </c>
      <c r="X66" s="17">
        <v>0</v>
      </c>
    </row>
    <row r="67" spans="1:24" ht="16.5" customHeight="1" x14ac:dyDescent="0.35">
      <c r="A67" s="58"/>
      <c r="B67" s="58"/>
      <c r="C67" s="50" t="s">
        <v>80</v>
      </c>
      <c r="D67" s="51"/>
      <c r="E67" s="52" t="s">
        <v>78</v>
      </c>
      <c r="F67" s="51"/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8">
        <v>0</v>
      </c>
      <c r="W67" s="17">
        <v>0</v>
      </c>
      <c r="X67" s="17"/>
    </row>
    <row r="68" spans="1:24" ht="16.5" customHeight="1" x14ac:dyDescent="0.35">
      <c r="A68" s="58"/>
      <c r="B68" s="58"/>
      <c r="C68" s="50" t="s">
        <v>81</v>
      </c>
      <c r="D68" s="51"/>
      <c r="E68" s="52" t="s">
        <v>78</v>
      </c>
      <c r="F68" s="51"/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8">
        <v>0</v>
      </c>
      <c r="W68" s="17">
        <v>0</v>
      </c>
      <c r="X68" s="17">
        <v>0</v>
      </c>
    </row>
    <row r="69" spans="1:24" ht="16.5" customHeight="1" x14ac:dyDescent="0.35">
      <c r="A69" s="58"/>
      <c r="B69" s="58"/>
      <c r="C69" s="53" t="s">
        <v>82</v>
      </c>
      <c r="D69" s="51"/>
      <c r="E69" s="52" t="s">
        <v>78</v>
      </c>
      <c r="F69" s="51"/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8">
        <v>0</v>
      </c>
      <c r="W69" s="17">
        <v>0</v>
      </c>
      <c r="X69" s="17">
        <v>0</v>
      </c>
    </row>
    <row r="70" spans="1:24" ht="16.5" customHeight="1" x14ac:dyDescent="0.35">
      <c r="A70" s="58"/>
      <c r="B70" s="58"/>
      <c r="C70" s="53" t="s">
        <v>83</v>
      </c>
      <c r="D70" s="51"/>
      <c r="E70" s="52" t="s">
        <v>78</v>
      </c>
      <c r="F70" s="51"/>
      <c r="G70" s="17">
        <v>2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8">
        <v>0</v>
      </c>
      <c r="W70" s="17">
        <v>0</v>
      </c>
      <c r="X70" s="17">
        <v>0</v>
      </c>
    </row>
    <row r="71" spans="1:24" ht="16.5" customHeight="1" x14ac:dyDescent="0.35">
      <c r="A71" s="58"/>
      <c r="B71" s="58"/>
      <c r="C71" s="53"/>
      <c r="D71" s="51"/>
      <c r="E71" s="52"/>
      <c r="F71" s="51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6">
        <v>1</v>
      </c>
      <c r="W71" s="17"/>
      <c r="X71" s="17"/>
    </row>
    <row r="72" spans="1:24" ht="16.5" customHeight="1" x14ac:dyDescent="0.35">
      <c r="A72" s="58"/>
      <c r="B72" s="59"/>
      <c r="C72" s="50" t="s">
        <v>84</v>
      </c>
      <c r="D72" s="51"/>
      <c r="E72" s="52" t="s">
        <v>78</v>
      </c>
      <c r="F72" s="51"/>
      <c r="G72" s="17">
        <v>1</v>
      </c>
      <c r="H72" s="17">
        <v>2</v>
      </c>
      <c r="I72" s="17">
        <v>2</v>
      </c>
      <c r="J72" s="17">
        <v>2</v>
      </c>
      <c r="K72" s="17">
        <v>2</v>
      </c>
      <c r="L72" s="17">
        <v>2</v>
      </c>
      <c r="M72" s="17">
        <v>2</v>
      </c>
      <c r="N72" s="17">
        <v>2</v>
      </c>
      <c r="O72" s="17">
        <v>2</v>
      </c>
      <c r="P72" s="17">
        <v>2</v>
      </c>
      <c r="Q72" s="17">
        <v>2</v>
      </c>
      <c r="R72" s="17">
        <v>2</v>
      </c>
      <c r="S72" s="17">
        <v>2</v>
      </c>
      <c r="T72" s="17">
        <v>2</v>
      </c>
      <c r="U72" s="17">
        <v>1</v>
      </c>
      <c r="V72" s="18">
        <v>0</v>
      </c>
      <c r="W72" s="17">
        <v>0</v>
      </c>
      <c r="X72" s="17">
        <v>0</v>
      </c>
    </row>
    <row r="73" spans="1:24" ht="16.5" customHeight="1" x14ac:dyDescent="0.35">
      <c r="A73" s="58"/>
      <c r="B73" s="21"/>
      <c r="C73" s="50"/>
      <c r="D73" s="51"/>
      <c r="E73" s="52"/>
      <c r="F73" s="51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20">
        <v>1</v>
      </c>
      <c r="W73" s="17"/>
      <c r="X73" s="17"/>
    </row>
    <row r="74" spans="1:24" ht="16.5" customHeight="1" x14ac:dyDescent="0.35">
      <c r="A74" s="58"/>
      <c r="B74" s="57" t="s">
        <v>85</v>
      </c>
      <c r="C74" s="50" t="s">
        <v>86</v>
      </c>
      <c r="D74" s="51"/>
      <c r="E74" s="52" t="s">
        <v>42</v>
      </c>
      <c r="F74" s="51"/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8">
        <v>0</v>
      </c>
      <c r="X74" s="17">
        <v>0</v>
      </c>
    </row>
    <row r="75" spans="1:24" ht="16.5" customHeight="1" x14ac:dyDescent="0.35">
      <c r="A75" s="58"/>
      <c r="B75" s="58"/>
      <c r="C75" s="50" t="s">
        <v>87</v>
      </c>
      <c r="D75" s="51"/>
      <c r="E75" s="52" t="s">
        <v>26</v>
      </c>
      <c r="F75" s="51"/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8">
        <v>0</v>
      </c>
      <c r="X75" s="17">
        <v>0</v>
      </c>
    </row>
    <row r="76" spans="1:24" ht="16.5" customHeight="1" x14ac:dyDescent="0.35">
      <c r="A76" s="58"/>
      <c r="B76" s="58"/>
      <c r="C76" s="50" t="s">
        <v>88</v>
      </c>
      <c r="D76" s="51"/>
      <c r="E76" s="52" t="s">
        <v>34</v>
      </c>
      <c r="F76" s="51"/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1</v>
      </c>
      <c r="W76" s="18">
        <v>0</v>
      </c>
      <c r="X76" s="17">
        <v>0</v>
      </c>
    </row>
    <row r="77" spans="1:24" ht="16.5" customHeight="1" x14ac:dyDescent="0.35">
      <c r="A77" s="58"/>
      <c r="B77" s="58"/>
      <c r="C77" s="50" t="s">
        <v>89</v>
      </c>
      <c r="D77" s="51"/>
      <c r="E77" s="52" t="s">
        <v>42</v>
      </c>
      <c r="F77" s="51"/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8">
        <v>0</v>
      </c>
      <c r="X77" s="17">
        <v>0</v>
      </c>
    </row>
    <row r="78" spans="1:24" ht="16.5" customHeight="1" x14ac:dyDescent="0.35">
      <c r="A78" s="58"/>
      <c r="B78" s="58"/>
      <c r="C78" s="50" t="s">
        <v>90</v>
      </c>
      <c r="D78" s="51"/>
      <c r="E78" s="52" t="s">
        <v>42</v>
      </c>
      <c r="F78" s="51"/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8">
        <v>0</v>
      </c>
      <c r="X78" s="17">
        <v>0</v>
      </c>
    </row>
    <row r="79" spans="1:24" ht="16.5" customHeight="1" x14ac:dyDescent="0.35">
      <c r="A79" s="58"/>
      <c r="B79" s="58"/>
      <c r="C79" s="50" t="s">
        <v>91</v>
      </c>
      <c r="D79" s="51"/>
      <c r="E79" s="52" t="s">
        <v>31</v>
      </c>
      <c r="F79" s="51"/>
      <c r="G79" s="17">
        <v>1</v>
      </c>
      <c r="H79" s="17">
        <v>2</v>
      </c>
      <c r="I79" s="17">
        <v>2</v>
      </c>
      <c r="J79" s="17">
        <v>2</v>
      </c>
      <c r="K79" s="17">
        <v>2</v>
      </c>
      <c r="L79" s="17">
        <v>2</v>
      </c>
      <c r="M79" s="17">
        <v>2</v>
      </c>
      <c r="N79" s="17">
        <v>2</v>
      </c>
      <c r="O79" s="17">
        <v>2</v>
      </c>
      <c r="P79" s="17">
        <v>2</v>
      </c>
      <c r="Q79" s="17">
        <v>2</v>
      </c>
      <c r="R79" s="17">
        <v>2</v>
      </c>
      <c r="S79" s="17">
        <v>2</v>
      </c>
      <c r="T79" s="17">
        <v>2</v>
      </c>
      <c r="U79" s="17">
        <v>2</v>
      </c>
      <c r="V79" s="17">
        <v>1</v>
      </c>
      <c r="W79" s="18">
        <v>0</v>
      </c>
      <c r="X79" s="17">
        <v>0</v>
      </c>
    </row>
    <row r="80" spans="1:24" ht="16.5" customHeight="1" x14ac:dyDescent="0.35">
      <c r="A80" s="58"/>
      <c r="B80" s="58"/>
      <c r="C80" s="50"/>
      <c r="D80" s="51"/>
      <c r="E80" s="52"/>
      <c r="F80" s="51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20">
        <v>1</v>
      </c>
      <c r="X80" s="17"/>
    </row>
    <row r="81" spans="1:24" ht="16.5" customHeight="1" x14ac:dyDescent="0.35">
      <c r="A81" s="58"/>
      <c r="B81" s="59"/>
      <c r="C81" s="50" t="s">
        <v>92</v>
      </c>
      <c r="D81" s="51"/>
      <c r="E81" s="52" t="s">
        <v>26</v>
      </c>
      <c r="F81" s="51"/>
      <c r="G81" s="17">
        <v>1</v>
      </c>
      <c r="H81" s="17">
        <v>2</v>
      </c>
      <c r="I81" s="17">
        <v>2</v>
      </c>
      <c r="J81" s="17">
        <v>2</v>
      </c>
      <c r="K81" s="17">
        <v>2</v>
      </c>
      <c r="L81" s="17">
        <v>2</v>
      </c>
      <c r="M81" s="17">
        <v>2</v>
      </c>
      <c r="N81" s="17">
        <v>2</v>
      </c>
      <c r="O81" s="17">
        <v>2</v>
      </c>
      <c r="P81" s="17">
        <v>2</v>
      </c>
      <c r="Q81" s="17">
        <v>2</v>
      </c>
      <c r="R81" s="17">
        <v>2</v>
      </c>
      <c r="S81" s="17">
        <v>2</v>
      </c>
      <c r="T81" s="17">
        <v>2</v>
      </c>
      <c r="U81" s="17">
        <v>2</v>
      </c>
      <c r="V81" s="17">
        <v>1</v>
      </c>
      <c r="W81" s="18">
        <v>0</v>
      </c>
      <c r="X81" s="17">
        <v>0</v>
      </c>
    </row>
    <row r="82" spans="1:24" ht="16.5" customHeight="1" x14ac:dyDescent="0.35">
      <c r="A82" s="58"/>
      <c r="B82" s="21"/>
      <c r="C82" s="50"/>
      <c r="D82" s="51"/>
      <c r="E82" s="52"/>
      <c r="F82" s="51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20">
        <v>1</v>
      </c>
      <c r="X82" s="17"/>
    </row>
    <row r="83" spans="1:24" ht="16.5" customHeight="1" x14ac:dyDescent="0.35">
      <c r="A83" s="58"/>
      <c r="B83" s="57" t="s">
        <v>93</v>
      </c>
      <c r="C83" s="50" t="s">
        <v>94</v>
      </c>
      <c r="D83" s="51"/>
      <c r="E83" s="52" t="s">
        <v>24</v>
      </c>
      <c r="F83" s="51"/>
      <c r="G83" s="17">
        <v>5</v>
      </c>
      <c r="H83" s="17">
        <v>5</v>
      </c>
      <c r="I83" s="17">
        <v>5</v>
      </c>
      <c r="J83" s="17">
        <v>5</v>
      </c>
      <c r="K83" s="17">
        <v>5</v>
      </c>
      <c r="L83" s="17">
        <v>5</v>
      </c>
      <c r="M83" s="17">
        <v>5</v>
      </c>
      <c r="N83" s="17">
        <v>5</v>
      </c>
      <c r="O83" s="17">
        <v>5</v>
      </c>
      <c r="P83" s="17">
        <v>5</v>
      </c>
      <c r="Q83" s="17">
        <v>5</v>
      </c>
      <c r="R83" s="17">
        <v>5</v>
      </c>
      <c r="S83" s="17">
        <v>5</v>
      </c>
      <c r="T83" s="17">
        <v>5</v>
      </c>
      <c r="U83" s="17">
        <v>5</v>
      </c>
      <c r="V83" s="17">
        <v>5</v>
      </c>
      <c r="W83" s="17">
        <v>5</v>
      </c>
      <c r="X83" s="18">
        <v>0</v>
      </c>
    </row>
    <row r="84" spans="1:24" ht="16.5" customHeight="1" x14ac:dyDescent="0.35">
      <c r="A84" s="58"/>
      <c r="B84" s="59"/>
      <c r="C84" s="50" t="s">
        <v>95</v>
      </c>
      <c r="D84" s="51"/>
      <c r="E84" s="52" t="s">
        <v>24</v>
      </c>
      <c r="F84" s="51"/>
      <c r="G84" s="17">
        <v>5</v>
      </c>
      <c r="H84" s="17">
        <v>5</v>
      </c>
      <c r="I84" s="17">
        <v>5</v>
      </c>
      <c r="J84" s="17">
        <v>5</v>
      </c>
      <c r="K84" s="17">
        <v>5</v>
      </c>
      <c r="L84" s="17">
        <v>5</v>
      </c>
      <c r="M84" s="17">
        <v>5</v>
      </c>
      <c r="N84" s="17">
        <v>5</v>
      </c>
      <c r="O84" s="17">
        <v>5</v>
      </c>
      <c r="P84" s="17">
        <v>5</v>
      </c>
      <c r="Q84" s="17">
        <v>5</v>
      </c>
      <c r="R84" s="17">
        <v>5</v>
      </c>
      <c r="S84" s="17">
        <v>5</v>
      </c>
      <c r="T84" s="17">
        <v>5</v>
      </c>
      <c r="U84" s="17">
        <v>5</v>
      </c>
      <c r="V84" s="17">
        <v>5</v>
      </c>
      <c r="W84" s="17">
        <v>5</v>
      </c>
      <c r="X84" s="18">
        <v>0</v>
      </c>
    </row>
    <row r="85" spans="1:24" ht="16.5" customHeight="1" x14ac:dyDescent="0.35">
      <c r="A85" s="58"/>
      <c r="B85" s="64" t="s">
        <v>18</v>
      </c>
      <c r="C85" s="65"/>
      <c r="D85" s="66"/>
      <c r="E85" s="54" t="s">
        <v>11</v>
      </c>
      <c r="F85" s="51"/>
      <c r="G85" s="54">
        <f>SUM(G16:G84)</f>
        <v>126</v>
      </c>
      <c r="H85" s="51"/>
      <c r="I85" s="17">
        <f t="shared" ref="I85:K85" si="1">SUM(I16:I84)</f>
        <v>128</v>
      </c>
      <c r="J85" s="17">
        <f t="shared" si="1"/>
        <v>127</v>
      </c>
      <c r="K85" s="17">
        <f t="shared" si="1"/>
        <v>116</v>
      </c>
      <c r="L85" s="17">
        <f>SUM(L16:L84)-2</f>
        <v>104</v>
      </c>
      <c r="M85" s="17">
        <f>SUM(M16:M84)-4</f>
        <v>98</v>
      </c>
      <c r="N85" s="17">
        <f>SUM(N16:N84)</f>
        <v>87</v>
      </c>
      <c r="O85" s="17">
        <f>SUM(O16:O84)-2</f>
        <v>79</v>
      </c>
      <c r="P85" s="17">
        <f>SUM(P16:P84)</f>
        <v>71</v>
      </c>
      <c r="Q85" s="17">
        <f t="shared" ref="Q85:R85" si="2">SUM(Q16:Q84)+2</f>
        <v>65</v>
      </c>
      <c r="R85" s="17">
        <f t="shared" si="2"/>
        <v>56</v>
      </c>
      <c r="S85" s="17">
        <f t="shared" ref="S85:T85" si="3">SUM(S16:S84)-2</f>
        <v>40</v>
      </c>
      <c r="T85" s="17">
        <f t="shared" si="3"/>
        <v>36</v>
      </c>
      <c r="U85" s="17">
        <f>SUM(U16:U84)+2</f>
        <v>30</v>
      </c>
      <c r="V85" s="17">
        <f>SUM(V16:V84)</f>
        <v>19</v>
      </c>
      <c r="W85" s="17">
        <f>SUM(W16:W84)-2</f>
        <v>10</v>
      </c>
      <c r="X85" s="17">
        <f>SUM(X16:X84)</f>
        <v>0</v>
      </c>
    </row>
    <row r="86" spans="1:24" ht="16.5" customHeight="1" x14ac:dyDescent="0.35">
      <c r="A86" s="59"/>
      <c r="B86" s="67"/>
      <c r="C86" s="68"/>
      <c r="D86" s="69"/>
      <c r="E86" s="54" t="s">
        <v>12</v>
      </c>
      <c r="F86" s="51"/>
      <c r="G86" s="54">
        <f>SUM(H16:H84)</f>
        <v>134</v>
      </c>
      <c r="H86" s="51"/>
      <c r="I86" s="17">
        <f t="shared" ref="I86:M86" si="4">SUM(I16:I84)</f>
        <v>128</v>
      </c>
      <c r="J86" s="17">
        <f t="shared" si="4"/>
        <v>127</v>
      </c>
      <c r="K86" s="17">
        <f t="shared" si="4"/>
        <v>116</v>
      </c>
      <c r="L86" s="17">
        <f t="shared" si="4"/>
        <v>106</v>
      </c>
      <c r="M86" s="17">
        <f t="shared" si="4"/>
        <v>102</v>
      </c>
      <c r="N86" s="17">
        <f>SUM(N16:N84)-N29</f>
        <v>87</v>
      </c>
      <c r="O86" s="17">
        <f t="shared" ref="O86:X86" si="5">SUM(O16:O84)</f>
        <v>81</v>
      </c>
      <c r="P86" s="17">
        <f t="shared" si="5"/>
        <v>71</v>
      </c>
      <c r="Q86" s="17">
        <f t="shared" si="5"/>
        <v>63</v>
      </c>
      <c r="R86" s="17">
        <f t="shared" si="5"/>
        <v>54</v>
      </c>
      <c r="S86" s="17">
        <f t="shared" si="5"/>
        <v>42</v>
      </c>
      <c r="T86" s="17">
        <f t="shared" si="5"/>
        <v>38</v>
      </c>
      <c r="U86" s="17">
        <f t="shared" si="5"/>
        <v>28</v>
      </c>
      <c r="V86" s="17">
        <f t="shared" si="5"/>
        <v>19</v>
      </c>
      <c r="W86" s="17">
        <f t="shared" si="5"/>
        <v>12</v>
      </c>
      <c r="X86" s="17">
        <f t="shared" si="5"/>
        <v>0</v>
      </c>
    </row>
    <row r="87" spans="1:24" ht="16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6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6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6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6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6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6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6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6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6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6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6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6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6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6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6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6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6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6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6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6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6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6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6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6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6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6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6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6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6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6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6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6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6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6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6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6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6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6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6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6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6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6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6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6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6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6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6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6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6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6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6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6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6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6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6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6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6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6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6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6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6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6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6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6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6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6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6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6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6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6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6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6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6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6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6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6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6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6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6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6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6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6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6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6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6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6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6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6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6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6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6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6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6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6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6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6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6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6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6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6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6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6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6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6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6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6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6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6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6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6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6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6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6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6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6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6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6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6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6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6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6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6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6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6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6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6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6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6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6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6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6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6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6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6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6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6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6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6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6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6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6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6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6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6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6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6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6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6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6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6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6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6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6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6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6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6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6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6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6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6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6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6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6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6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6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6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6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6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6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6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6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6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6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6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6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6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6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6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6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6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6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6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6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6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6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6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6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6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6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6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6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6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6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6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6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6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6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6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6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6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6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6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6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6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6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6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6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6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6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6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6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6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6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6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6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6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6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6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6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6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6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6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6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6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6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6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6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6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6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6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6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6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6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6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6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6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6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6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6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6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6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6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6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6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6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6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6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6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6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6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6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6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6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6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6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6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6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6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6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6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6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6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6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6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6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6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6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6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6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6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6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6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6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6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6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6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6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6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6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6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6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6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6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6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6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6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6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6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6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6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6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6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6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6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6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6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6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6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6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6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6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6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6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6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6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6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6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6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6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6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6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6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6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6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6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6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6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6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6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6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6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6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6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6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6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6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6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6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6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6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6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6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6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6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6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6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6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6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6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6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6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6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6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6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6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6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6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6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6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6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6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6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6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6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6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6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6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6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6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6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6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6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6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6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6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6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6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6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6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6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6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6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6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6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6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6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6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6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6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6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6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6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6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6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6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6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6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6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6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6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6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6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6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6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6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6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6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6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6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6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6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6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6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6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6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6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6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6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6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6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6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6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6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6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6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6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6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6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6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6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6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6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6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6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6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6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6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6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6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6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6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6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6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6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6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6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6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6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6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6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6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6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6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6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6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6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6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6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6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6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6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6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6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6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6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6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6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6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6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6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6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6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6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6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6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6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6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6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6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6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6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6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6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6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6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6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6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6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6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6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6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6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6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6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6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6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6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6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6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6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6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6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6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6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6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6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6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6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6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6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6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6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6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6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6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6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6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6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6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6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6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6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6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6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6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6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6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6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6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6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6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6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6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6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6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6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6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6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6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6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6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6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6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6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6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6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6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6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6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6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6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6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6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6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6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6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6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6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6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6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6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6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6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6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6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6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6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6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6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6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6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6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6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6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6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6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6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6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6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6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6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6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6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6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6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6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6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6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6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6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6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6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6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6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6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6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6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6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6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6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6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6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6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6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6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6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6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6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6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6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6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6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6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6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6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6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6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6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6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6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6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6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6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6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6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6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6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6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6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6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6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6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6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6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6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6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6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6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6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6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6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6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6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6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6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6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6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6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6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6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6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6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6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6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6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6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6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6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6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6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6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6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6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6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6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6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6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6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6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6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6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6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6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6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6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6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6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6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6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6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6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6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6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6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6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6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6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6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6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6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6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6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6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6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6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6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6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6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6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6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6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6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6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6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6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6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6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6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6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6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6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6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6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6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6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6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6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6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6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6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6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6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6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6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6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6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6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6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6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6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6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6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6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6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6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6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6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6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6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6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6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6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6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6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6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6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6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6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6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6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6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6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6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6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6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6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6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6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6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6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6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6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6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6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6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6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6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6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6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6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6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6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6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6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6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6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6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6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6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6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6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6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6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6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6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6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6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6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6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6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6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6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6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6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6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6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6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6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6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6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6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6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6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6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6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6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6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6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6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6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6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6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6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6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6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6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6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6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6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6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6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6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6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6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6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6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6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6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6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6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6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6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6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6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6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6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6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6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6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6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6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6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6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6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6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6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6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6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6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6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6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6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6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6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6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6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6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6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6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6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6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6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6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6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6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6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6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6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6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6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6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6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6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6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6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6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6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6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6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6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6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6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6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6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6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6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6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6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6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6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6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6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6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6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6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6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6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6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6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6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6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6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6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6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6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6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6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6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6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6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6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6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6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6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6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6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6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6.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6.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</sheetData>
  <mergeCells count="159">
    <mergeCell ref="C61:D61"/>
    <mergeCell ref="C63:D63"/>
    <mergeCell ref="E63:F63"/>
    <mergeCell ref="E43:F43"/>
    <mergeCell ref="E44:F44"/>
    <mergeCell ref="E45:F45"/>
    <mergeCell ref="E46:F46"/>
    <mergeCell ref="E47:F47"/>
    <mergeCell ref="E48:F48"/>
    <mergeCell ref="E49:F49"/>
    <mergeCell ref="C54:D54"/>
    <mergeCell ref="C55:D55"/>
    <mergeCell ref="E50:F50"/>
    <mergeCell ref="E52:F52"/>
    <mergeCell ref="E53:F53"/>
    <mergeCell ref="C58:D58"/>
    <mergeCell ref="C59:D59"/>
    <mergeCell ref="C60:D60"/>
    <mergeCell ref="E54:F54"/>
    <mergeCell ref="E55:F55"/>
    <mergeCell ref="C56:D56"/>
    <mergeCell ref="C57:D57"/>
    <mergeCell ref="E60:F60"/>
    <mergeCell ref="E56:F56"/>
    <mergeCell ref="E57:F57"/>
    <mergeCell ref="E58:F58"/>
    <mergeCell ref="E59:F59"/>
    <mergeCell ref="E83:F83"/>
    <mergeCell ref="E84:F84"/>
    <mergeCell ref="E85:F85"/>
    <mergeCell ref="E86:F86"/>
    <mergeCell ref="E64:F64"/>
    <mergeCell ref="E62:F62"/>
    <mergeCell ref="E61:F61"/>
    <mergeCell ref="C83:D83"/>
    <mergeCell ref="C84:D84"/>
    <mergeCell ref="B85:D86"/>
    <mergeCell ref="E76:F76"/>
    <mergeCell ref="E77:F77"/>
    <mergeCell ref="E78:F78"/>
    <mergeCell ref="E79:F79"/>
    <mergeCell ref="E81:F81"/>
    <mergeCell ref="C62:D62"/>
    <mergeCell ref="C64:D64"/>
    <mergeCell ref="C65:D65"/>
    <mergeCell ref="C66:D66"/>
    <mergeCell ref="B17:D17"/>
    <mergeCell ref="E17:F17"/>
    <mergeCell ref="B18:D18"/>
    <mergeCell ref="E18:F18"/>
    <mergeCell ref="E19:F19"/>
    <mergeCell ref="C19:D19"/>
    <mergeCell ref="C20:D20"/>
    <mergeCell ref="E20:F20"/>
    <mergeCell ref="C21:D21"/>
    <mergeCell ref="E21:F21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C51:D51"/>
    <mergeCell ref="E51:F51"/>
    <mergeCell ref="C46:D46"/>
    <mergeCell ref="C47:D47"/>
    <mergeCell ref="C48:D48"/>
    <mergeCell ref="C49:D49"/>
    <mergeCell ref="C50:D50"/>
    <mergeCell ref="C52:D52"/>
    <mergeCell ref="C53:D53"/>
    <mergeCell ref="C32:D32"/>
    <mergeCell ref="C43:D43"/>
    <mergeCell ref="C22:D22"/>
    <mergeCell ref="E22:F22"/>
    <mergeCell ref="C24:D24"/>
    <mergeCell ref="E24:F24"/>
    <mergeCell ref="C23:D23"/>
    <mergeCell ref="E23:F23"/>
    <mergeCell ref="C25:D25"/>
    <mergeCell ref="E25:F25"/>
    <mergeCell ref="C26:D26"/>
    <mergeCell ref="E26:F26"/>
    <mergeCell ref="E27:F27"/>
    <mergeCell ref="E34:F34"/>
    <mergeCell ref="E35:F35"/>
    <mergeCell ref="E28:F28"/>
    <mergeCell ref="E29:F29"/>
    <mergeCell ref="E30:F30"/>
    <mergeCell ref="E31:F31"/>
    <mergeCell ref="E32:F32"/>
    <mergeCell ref="E33:F33"/>
    <mergeCell ref="C39:D39"/>
    <mergeCell ref="C40:D40"/>
    <mergeCell ref="C37:D37"/>
    <mergeCell ref="G85:H85"/>
    <mergeCell ref="G86:H86"/>
    <mergeCell ref="C76:D76"/>
    <mergeCell ref="C77:D77"/>
    <mergeCell ref="C78:D78"/>
    <mergeCell ref="C75:D75"/>
    <mergeCell ref="E80:F80"/>
    <mergeCell ref="E82:F82"/>
    <mergeCell ref="A4:B4"/>
    <mergeCell ref="B30:B38"/>
    <mergeCell ref="B19:B29"/>
    <mergeCell ref="B39:B55"/>
    <mergeCell ref="B56:B63"/>
    <mergeCell ref="B65:B72"/>
    <mergeCell ref="B74:B81"/>
    <mergeCell ref="A16:A86"/>
    <mergeCell ref="B83:B84"/>
    <mergeCell ref="C44:D44"/>
    <mergeCell ref="C45:D45"/>
    <mergeCell ref="C27:D27"/>
    <mergeCell ref="C28:D28"/>
    <mergeCell ref="C29:D29"/>
    <mergeCell ref="C30:D30"/>
    <mergeCell ref="C31:D31"/>
    <mergeCell ref="E74:F74"/>
    <mergeCell ref="E75:F75"/>
    <mergeCell ref="C74:D74"/>
    <mergeCell ref="C73:D73"/>
    <mergeCell ref="E73:F73"/>
    <mergeCell ref="C81:D81"/>
    <mergeCell ref="C80:D80"/>
    <mergeCell ref="C79:D79"/>
    <mergeCell ref="C82:D82"/>
    <mergeCell ref="C69:D69"/>
    <mergeCell ref="C70:D70"/>
    <mergeCell ref="C72:D72"/>
    <mergeCell ref="C71:D71"/>
    <mergeCell ref="E65:F65"/>
    <mergeCell ref="E66:F66"/>
    <mergeCell ref="C67:D67"/>
    <mergeCell ref="E67:F67"/>
    <mergeCell ref="C68:D68"/>
    <mergeCell ref="E68:F68"/>
    <mergeCell ref="E69:F69"/>
    <mergeCell ref="E71:F71"/>
    <mergeCell ref="E70:F70"/>
    <mergeCell ref="E72:F72"/>
    <mergeCell ref="C33:D33"/>
    <mergeCell ref="C34:D34"/>
    <mergeCell ref="C35:D35"/>
    <mergeCell ref="C36:D36"/>
    <mergeCell ref="E36:F36"/>
    <mergeCell ref="E41:F41"/>
    <mergeCell ref="C41:D41"/>
    <mergeCell ref="C42:D42"/>
    <mergeCell ref="E42:F42"/>
    <mergeCell ref="E37:F37"/>
    <mergeCell ref="C38:D38"/>
    <mergeCell ref="E38:F38"/>
    <mergeCell ref="E39:F39"/>
    <mergeCell ref="E40:F40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985"/>
  <sheetViews>
    <sheetView zoomScale="130" zoomScaleNormal="130" workbookViewId="0">
      <selection activeCell="C1" sqref="C1"/>
    </sheetView>
  </sheetViews>
  <sheetFormatPr defaultColWidth="14.453125" defaultRowHeight="15" customHeight="1" x14ac:dyDescent="0.35"/>
  <cols>
    <col min="1" max="1" width="13.54296875" customWidth="1"/>
    <col min="2" max="2" width="21.08984375" customWidth="1"/>
    <col min="3" max="3" width="58.08984375" customWidth="1"/>
    <col min="4" max="4" width="13.453125" customWidth="1"/>
    <col min="5" max="5" width="12.81640625" customWidth="1"/>
    <col min="6" max="7" width="6.08984375" customWidth="1"/>
    <col min="8" max="18" width="6" customWidth="1"/>
    <col min="19" max="19" width="6.08984375" customWidth="1"/>
    <col min="20" max="22" width="6" customWidth="1"/>
    <col min="23" max="23" width="10.26953125" customWidth="1"/>
    <col min="24" max="43" width="8.7265625" customWidth="1"/>
  </cols>
  <sheetData>
    <row r="1" spans="1:43" ht="14.25" customHeight="1" x14ac:dyDescent="0.35">
      <c r="A1" s="55" t="s">
        <v>0</v>
      </c>
      <c r="B1" s="56"/>
      <c r="C1" s="23" t="s">
        <v>221</v>
      </c>
      <c r="F1" s="18"/>
      <c r="G1" s="4" t="s">
        <v>1</v>
      </c>
    </row>
    <row r="2" spans="1:43" ht="14.25" customHeight="1" x14ac:dyDescent="0.35">
      <c r="A2" s="55" t="s">
        <v>2</v>
      </c>
      <c r="B2" s="56"/>
      <c r="C2" s="17" t="s">
        <v>96</v>
      </c>
      <c r="F2" s="24"/>
      <c r="G2" s="70" t="s">
        <v>4</v>
      </c>
      <c r="H2" s="63"/>
      <c r="I2" s="71"/>
    </row>
    <row r="3" spans="1:43" ht="14.25" customHeight="1" x14ac:dyDescent="0.35">
      <c r="A3" s="55" t="s">
        <v>5</v>
      </c>
      <c r="B3" s="56"/>
      <c r="C3" s="25">
        <v>46118</v>
      </c>
      <c r="F3" s="20"/>
      <c r="G3" s="72" t="s">
        <v>6</v>
      </c>
      <c r="H3" s="73"/>
      <c r="I3" s="74"/>
    </row>
    <row r="4" spans="1:43" ht="18" customHeight="1" x14ac:dyDescent="0.35">
      <c r="A4" s="55" t="s">
        <v>7</v>
      </c>
      <c r="B4" s="56"/>
      <c r="C4" s="25">
        <v>46133</v>
      </c>
    </row>
    <row r="5" spans="1:43" ht="18" customHeight="1" x14ac:dyDescent="0.35">
      <c r="A5" s="2"/>
      <c r="B5" s="2"/>
      <c r="C5" s="2"/>
    </row>
    <row r="6" spans="1:43" ht="14.25" customHeight="1" x14ac:dyDescent="0.35">
      <c r="A6" s="2"/>
      <c r="B6" s="88" t="s">
        <v>97</v>
      </c>
      <c r="C6" s="89"/>
      <c r="D6" s="89"/>
      <c r="E6" s="89"/>
    </row>
    <row r="7" spans="1:43" ht="14.25" customHeight="1" x14ac:dyDescent="0.35">
      <c r="A7" s="2"/>
      <c r="B7" s="90" t="s">
        <v>9</v>
      </c>
      <c r="C7" s="90" t="s">
        <v>10</v>
      </c>
      <c r="D7" s="90" t="s">
        <v>11</v>
      </c>
      <c r="E7" s="90" t="s">
        <v>12</v>
      </c>
    </row>
    <row r="8" spans="1:43" ht="14.25" customHeight="1" x14ac:dyDescent="0.35">
      <c r="A8" s="2"/>
      <c r="B8" s="91">
        <v>1</v>
      </c>
      <c r="C8" s="92" t="s">
        <v>13</v>
      </c>
      <c r="D8" s="92">
        <f>SUMIF($D$16:$D$79,"Hiệu",$F$16:$F$79)+SUMIF($D$16:$D$79,"All team",$F$16:$F$79)/5+SUMIF($D$16:$D$79,"Hiệu,Thức",$F$16:$F$79)/2</f>
        <v>39.799999999999997</v>
      </c>
      <c r="E8" s="92">
        <f>SUMIF($D$16:$D$79,"Hiệu",$G$16:$G$79)+SUMIF($D$16:$D$79,"All team",$G$16:$G$79)/5+SUMIF($D$16:$D$79,"Hiệu,Thức",$G$16:$G$79)/2</f>
        <v>39</v>
      </c>
    </row>
    <row r="9" spans="1:43" ht="14.25" customHeight="1" x14ac:dyDescent="0.35">
      <c r="A9" s="2"/>
      <c r="B9" s="91">
        <v>2</v>
      </c>
      <c r="C9" s="92" t="s">
        <v>14</v>
      </c>
      <c r="D9" s="92">
        <f>SUMIF($D$16:$D$79,"Thức",$F$16:$F$79)+SUMIF($D$16:$D$79,"All team",$F$16:$F$79)/5+SUMIF($D$16:$D$79,"Thức,Tài",$F$16:$F$79)/2+SUMIF($D$16:$D$79,"Hiệu,Thức",$F$16:$F$79)/2</f>
        <v>21.8</v>
      </c>
      <c r="E9" s="92">
        <f>SUMIF($D$16:$D$79,"Thức",$G$16:$G$79)+SUMIF($D$16:$D$79,"All team",$G$16:$G$79)/5+SUMIF($D$16:$D$79,"Thức,Tài",$G$16:$G$79)/2+SUMIF($D$16:$D$79,"Hiệu,Thức",$G$16:$G$79)/2</f>
        <v>21</v>
      </c>
    </row>
    <row r="10" spans="1:43" ht="14.25" customHeight="1" x14ac:dyDescent="0.35">
      <c r="A10" s="2"/>
      <c r="B10" s="91">
        <v>3</v>
      </c>
      <c r="C10" s="92" t="s">
        <v>15</v>
      </c>
      <c r="D10" s="92">
        <f>SUMIF($D$16:$D$79,"Tài",$F$16:$F$79)+SUMIF($D$16:$D$79,"All team",$F$16:$F$79)/5+SUMIF($D$16:$D$79,"Thức,Tài",$F$16:$F$79)/2+SUMIF($D$16:$D$79,"Tài,Vinh",$F$16:$F$79)/2</f>
        <v>22.8</v>
      </c>
      <c r="E10" s="92">
        <f>SUMIF($D$16:$D$79,"Tài",$G$16:$G$79)+SUMIF($D$16:$D$79,"All team",$G$16:$G$79)/5+SUMIF($D$16:$D$79,"Thức,Tài",$G$16:$G$79)/2+SUMIF($D$16:$D$79,"Tài,Vinh",$G$16:$G$79)/2</f>
        <v>21</v>
      </c>
    </row>
    <row r="11" spans="1:43" ht="14.25" customHeight="1" x14ac:dyDescent="0.35">
      <c r="A11" s="2"/>
      <c r="B11" s="91">
        <v>4</v>
      </c>
      <c r="C11" s="92" t="s">
        <v>16</v>
      </c>
      <c r="D11" s="92">
        <f>SUMIF($D$16:$D$79,"Vinh",$F$16:$F$79)+SUMIF($D$16:$D$79,"All team",$F$16:$F$79)/5+SUMIF($D$16:$D$79,"Tài,Vinh",$F$16:$F$79)/2</f>
        <v>12.8</v>
      </c>
      <c r="E11" s="92">
        <f>SUMIF($D$16:$D$79,"Vinh",$G$16:$G$79)+SUMIF($D$16:$D$79,"All team",$G$16:$G$79)/5+SUMIF($D$16:$D$79,"Tài,Vinh",$G$16:$G$79)/2</f>
        <v>14</v>
      </c>
    </row>
    <row r="12" spans="1:43" ht="14.25" customHeight="1" x14ac:dyDescent="0.35">
      <c r="A12" s="2"/>
      <c r="B12" s="91">
        <v>5</v>
      </c>
      <c r="C12" s="92" t="s">
        <v>17</v>
      </c>
      <c r="D12" s="92">
        <f>SUMIF($D$16:$D$79,"Việt",$F$16:$F$79)+SUMIF($D$16:$D$79,"All team",$F$16:$F$79)/5</f>
        <v>18.8</v>
      </c>
      <c r="E12" s="92">
        <f>SUMIF($D$16:$D$79,"Việt",$G$16:$G$79)+SUMIF($D$16:$D$79,"All team",$G$16:$G$79)/5</f>
        <v>20</v>
      </c>
    </row>
    <row r="13" spans="1:43" ht="14.25" customHeight="1" x14ac:dyDescent="0.35">
      <c r="A13" s="2"/>
      <c r="B13" s="93" t="s">
        <v>18</v>
      </c>
      <c r="C13" s="89"/>
      <c r="D13" s="94">
        <f t="shared" ref="D13:E13" si="0">SUM(D8:D12)</f>
        <v>115.99999999999999</v>
      </c>
      <c r="E13" s="94">
        <f t="shared" si="0"/>
        <v>115</v>
      </c>
    </row>
    <row r="14" spans="1:43" ht="14.25" customHeight="1" x14ac:dyDescent="0.35"/>
    <row r="15" spans="1:43" ht="63.75" customHeight="1" x14ac:dyDescent="0.35">
      <c r="A15" s="26" t="s">
        <v>19</v>
      </c>
      <c r="B15" s="26" t="s">
        <v>20</v>
      </c>
      <c r="C15" s="27" t="s">
        <v>21</v>
      </c>
      <c r="D15" s="75" t="s">
        <v>22</v>
      </c>
      <c r="E15" s="63"/>
      <c r="F15" s="87" t="s">
        <v>11</v>
      </c>
      <c r="G15" s="85" t="s">
        <v>12</v>
      </c>
      <c r="H15" s="16">
        <v>46118</v>
      </c>
      <c r="I15" s="16">
        <v>46119</v>
      </c>
      <c r="J15" s="16">
        <v>46120</v>
      </c>
      <c r="K15" s="16">
        <v>46121</v>
      </c>
      <c r="L15" s="16">
        <v>46122</v>
      </c>
      <c r="M15" s="16">
        <v>46123</v>
      </c>
      <c r="N15" s="16">
        <v>46124</v>
      </c>
      <c r="O15" s="16">
        <v>46125</v>
      </c>
      <c r="P15" s="16">
        <v>46126</v>
      </c>
      <c r="Q15" s="16">
        <v>46127</v>
      </c>
      <c r="R15" s="16">
        <v>46128</v>
      </c>
      <c r="S15" s="16">
        <v>46129</v>
      </c>
      <c r="T15" s="16">
        <v>46130</v>
      </c>
      <c r="U15" s="16">
        <v>46131</v>
      </c>
      <c r="V15" s="16">
        <v>46132</v>
      </c>
      <c r="W15" s="16">
        <v>46133</v>
      </c>
      <c r="X15" s="28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4.25" customHeight="1" x14ac:dyDescent="0.35">
      <c r="A16" s="57" t="s">
        <v>96</v>
      </c>
      <c r="B16" s="50" t="s">
        <v>23</v>
      </c>
      <c r="C16" s="51"/>
      <c r="D16" s="52" t="s">
        <v>24</v>
      </c>
      <c r="E16" s="51"/>
      <c r="F16" s="86">
        <v>10</v>
      </c>
      <c r="G16" s="17">
        <v>10</v>
      </c>
      <c r="H16" s="17">
        <v>10</v>
      </c>
      <c r="I16" s="18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</row>
    <row r="17" spans="1:23" ht="14.25" customHeight="1" x14ac:dyDescent="0.35">
      <c r="A17" s="58"/>
      <c r="B17" s="50" t="s">
        <v>98</v>
      </c>
      <c r="C17" s="51"/>
      <c r="D17" s="52" t="s">
        <v>217</v>
      </c>
      <c r="E17" s="51"/>
      <c r="F17" s="17">
        <v>4</v>
      </c>
      <c r="G17" s="17">
        <v>4</v>
      </c>
      <c r="H17" s="17">
        <v>4</v>
      </c>
      <c r="I17" s="17">
        <v>4</v>
      </c>
      <c r="J17" s="18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</row>
    <row r="18" spans="1:23" ht="14.25" customHeight="1" x14ac:dyDescent="0.35">
      <c r="A18" s="58"/>
      <c r="B18" s="50" t="s">
        <v>27</v>
      </c>
      <c r="C18" s="51"/>
      <c r="D18" s="52" t="s">
        <v>216</v>
      </c>
      <c r="E18" s="51"/>
      <c r="F18" s="17">
        <v>4</v>
      </c>
      <c r="G18" s="17">
        <v>4</v>
      </c>
      <c r="H18" s="17">
        <v>4</v>
      </c>
      <c r="I18" s="17">
        <v>4</v>
      </c>
      <c r="J18" s="17">
        <v>4</v>
      </c>
      <c r="K18" s="18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</row>
    <row r="19" spans="1:23" ht="17.25" customHeight="1" x14ac:dyDescent="0.35">
      <c r="A19" s="58"/>
      <c r="B19" s="57" t="s">
        <v>29</v>
      </c>
      <c r="C19" s="30" t="s">
        <v>99</v>
      </c>
      <c r="D19" s="52" t="s">
        <v>31</v>
      </c>
      <c r="E19" s="51"/>
      <c r="F19" s="17">
        <v>1</v>
      </c>
      <c r="G19" s="17">
        <v>1</v>
      </c>
      <c r="H19" s="17">
        <v>1</v>
      </c>
      <c r="I19" s="17">
        <v>1</v>
      </c>
      <c r="J19" s="17">
        <v>1</v>
      </c>
      <c r="K19" s="17">
        <v>1</v>
      </c>
      <c r="L19" s="18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</row>
    <row r="20" spans="1:23" ht="14.25" customHeight="1" x14ac:dyDescent="0.35">
      <c r="A20" s="58"/>
      <c r="B20" s="58"/>
      <c r="C20" s="30" t="s">
        <v>100</v>
      </c>
      <c r="D20" s="52" t="s">
        <v>42</v>
      </c>
      <c r="E20" s="51"/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8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</row>
    <row r="21" spans="1:23" ht="14.25" customHeight="1" x14ac:dyDescent="0.35">
      <c r="A21" s="58"/>
      <c r="B21" s="58"/>
      <c r="C21" s="30" t="s">
        <v>101</v>
      </c>
      <c r="D21" s="52" t="s">
        <v>34</v>
      </c>
      <c r="E21" s="51"/>
      <c r="F21" s="17">
        <v>3</v>
      </c>
      <c r="G21" s="17">
        <v>1</v>
      </c>
      <c r="H21" s="17">
        <v>1</v>
      </c>
      <c r="I21" s="17">
        <v>1</v>
      </c>
      <c r="J21" s="17">
        <v>1</v>
      </c>
      <c r="K21" s="17">
        <v>1</v>
      </c>
      <c r="L21" s="18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</row>
    <row r="22" spans="1:23" ht="14.25" customHeight="1" x14ac:dyDescent="0.35">
      <c r="A22" s="58"/>
      <c r="B22" s="58"/>
      <c r="C22" s="30"/>
      <c r="D22" s="52"/>
      <c r="E22" s="51"/>
      <c r="F22" s="17"/>
      <c r="G22" s="17"/>
      <c r="H22" s="17"/>
      <c r="I22" s="17"/>
      <c r="J22" s="17"/>
      <c r="K22" s="17"/>
      <c r="L22" s="24">
        <v>2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 ht="14.25" customHeight="1" x14ac:dyDescent="0.35">
      <c r="A23" s="58"/>
      <c r="B23" s="58"/>
      <c r="C23" s="30" t="s">
        <v>102</v>
      </c>
      <c r="D23" s="52" t="s">
        <v>42</v>
      </c>
      <c r="E23" s="51"/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8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</row>
    <row r="24" spans="1:23" ht="14.25" customHeight="1" x14ac:dyDescent="0.35">
      <c r="A24" s="58"/>
      <c r="B24" s="58"/>
      <c r="C24" s="30" t="s">
        <v>103</v>
      </c>
      <c r="D24" s="52" t="s">
        <v>42</v>
      </c>
      <c r="E24" s="51"/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8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</row>
    <row r="25" spans="1:23" ht="14.25" customHeight="1" x14ac:dyDescent="0.35">
      <c r="A25" s="58"/>
      <c r="B25" s="58"/>
      <c r="C25" s="30" t="s">
        <v>104</v>
      </c>
      <c r="D25" s="52" t="s">
        <v>42</v>
      </c>
      <c r="E25" s="51"/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8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</row>
    <row r="26" spans="1:23" ht="14.25" customHeight="1" x14ac:dyDescent="0.35">
      <c r="A26" s="58"/>
      <c r="B26" s="58"/>
      <c r="C26" s="17" t="s">
        <v>105</v>
      </c>
      <c r="D26" s="52" t="s">
        <v>26</v>
      </c>
      <c r="E26" s="51"/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8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</row>
    <row r="27" spans="1:23" ht="14.25" customHeight="1" x14ac:dyDescent="0.35">
      <c r="A27" s="58"/>
      <c r="B27" s="59"/>
      <c r="C27" s="30" t="s">
        <v>106</v>
      </c>
      <c r="D27" s="52" t="s">
        <v>24</v>
      </c>
      <c r="E27" s="51"/>
      <c r="F27" s="17">
        <v>8</v>
      </c>
      <c r="G27" s="17">
        <v>10</v>
      </c>
      <c r="H27" s="17">
        <v>10</v>
      </c>
      <c r="I27" s="17">
        <v>10</v>
      </c>
      <c r="J27" s="17">
        <v>10</v>
      </c>
      <c r="K27" s="17">
        <v>10</v>
      </c>
      <c r="L27" s="17">
        <v>8</v>
      </c>
      <c r="M27" s="18">
        <v>0</v>
      </c>
      <c r="N27" s="31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</row>
    <row r="28" spans="1:23" ht="14.25" customHeight="1" x14ac:dyDescent="0.35">
      <c r="A28" s="58"/>
      <c r="B28" s="21"/>
      <c r="C28" s="30"/>
      <c r="D28" s="52"/>
      <c r="E28" s="51"/>
      <c r="F28" s="17"/>
      <c r="G28" s="17"/>
      <c r="H28" s="17"/>
      <c r="I28" s="17"/>
      <c r="J28" s="17"/>
      <c r="K28" s="17"/>
      <c r="L28" s="17"/>
      <c r="M28" s="32">
        <v>2</v>
      </c>
      <c r="N28" s="31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4.25" customHeight="1" x14ac:dyDescent="0.35">
      <c r="A29" s="58"/>
      <c r="B29" s="57" t="s">
        <v>40</v>
      </c>
      <c r="C29" s="33" t="s">
        <v>107</v>
      </c>
      <c r="D29" s="52" t="s">
        <v>31</v>
      </c>
      <c r="E29" s="51"/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8">
        <v>0</v>
      </c>
      <c r="N29" s="31">
        <v>0</v>
      </c>
      <c r="O29" s="31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</row>
    <row r="30" spans="1:23" ht="14.25" customHeight="1" x14ac:dyDescent="0.35">
      <c r="A30" s="58"/>
      <c r="B30" s="58"/>
      <c r="C30" s="33" t="s">
        <v>108</v>
      </c>
      <c r="D30" s="52" t="s">
        <v>42</v>
      </c>
      <c r="E30" s="51"/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8">
        <v>0</v>
      </c>
      <c r="N30" s="31">
        <v>0</v>
      </c>
      <c r="O30" s="31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</row>
    <row r="31" spans="1:23" ht="14.25" customHeight="1" x14ac:dyDescent="0.35">
      <c r="A31" s="58"/>
      <c r="B31" s="58"/>
      <c r="C31" s="33" t="s">
        <v>109</v>
      </c>
      <c r="D31" s="52" t="s">
        <v>34</v>
      </c>
      <c r="E31" s="51"/>
      <c r="F31" s="17">
        <v>2</v>
      </c>
      <c r="G31" s="17">
        <v>2</v>
      </c>
      <c r="H31" s="17">
        <v>2</v>
      </c>
      <c r="I31" s="17">
        <v>2</v>
      </c>
      <c r="J31" s="17">
        <v>2</v>
      </c>
      <c r="K31" s="17">
        <v>2</v>
      </c>
      <c r="L31" s="17">
        <v>2</v>
      </c>
      <c r="M31" s="18">
        <v>0</v>
      </c>
      <c r="N31" s="31">
        <v>0</v>
      </c>
      <c r="O31" s="31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</row>
    <row r="32" spans="1:23" ht="14.25" customHeight="1" x14ac:dyDescent="0.35">
      <c r="A32" s="58"/>
      <c r="B32" s="58"/>
      <c r="C32" s="33" t="s">
        <v>110</v>
      </c>
      <c r="D32" s="52" t="s">
        <v>42</v>
      </c>
      <c r="E32" s="51"/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8">
        <v>0</v>
      </c>
      <c r="N32" s="31">
        <v>0</v>
      </c>
      <c r="O32" s="31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</row>
    <row r="33" spans="1:23" ht="14.25" customHeight="1" x14ac:dyDescent="0.35">
      <c r="A33" s="58"/>
      <c r="B33" s="58"/>
      <c r="C33" s="33" t="s">
        <v>111</v>
      </c>
      <c r="D33" s="52" t="s">
        <v>34</v>
      </c>
      <c r="E33" s="51"/>
      <c r="F33" s="17">
        <v>2</v>
      </c>
      <c r="G33" s="17">
        <v>2</v>
      </c>
      <c r="H33" s="17">
        <v>2</v>
      </c>
      <c r="I33" s="17">
        <v>2</v>
      </c>
      <c r="J33" s="17">
        <v>2</v>
      </c>
      <c r="K33" s="17">
        <v>2</v>
      </c>
      <c r="L33" s="17">
        <v>2</v>
      </c>
      <c r="M33" s="17">
        <v>2</v>
      </c>
      <c r="N33" s="18">
        <v>0</v>
      </c>
      <c r="O33" s="34">
        <v>0</v>
      </c>
      <c r="P33" s="34">
        <v>0</v>
      </c>
      <c r="Q33" s="34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</row>
    <row r="34" spans="1:23" ht="14.25" customHeight="1" x14ac:dyDescent="0.35">
      <c r="A34" s="58"/>
      <c r="B34" s="58"/>
      <c r="C34" s="33" t="s">
        <v>218</v>
      </c>
      <c r="D34" s="52" t="s">
        <v>26</v>
      </c>
      <c r="E34" s="51"/>
      <c r="F34" s="17">
        <v>2</v>
      </c>
      <c r="G34" s="17">
        <v>2</v>
      </c>
      <c r="H34" s="17">
        <v>2</v>
      </c>
      <c r="I34" s="17">
        <v>2</v>
      </c>
      <c r="J34" s="17">
        <v>2</v>
      </c>
      <c r="K34" s="17">
        <v>2</v>
      </c>
      <c r="L34" s="17">
        <v>2</v>
      </c>
      <c r="M34" s="17">
        <v>2</v>
      </c>
      <c r="N34" s="18">
        <v>0</v>
      </c>
      <c r="O34" s="34">
        <v>0</v>
      </c>
      <c r="P34" s="34">
        <v>0</v>
      </c>
      <c r="Q34" s="34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</row>
    <row r="35" spans="1:23" ht="14.25" customHeight="1" x14ac:dyDescent="0.35">
      <c r="A35" s="58"/>
      <c r="B35" s="58"/>
      <c r="C35" s="33" t="s">
        <v>112</v>
      </c>
      <c r="D35" s="52" t="s">
        <v>26</v>
      </c>
      <c r="E35" s="51"/>
      <c r="F35" s="17">
        <v>3</v>
      </c>
      <c r="G35" s="17">
        <v>2</v>
      </c>
      <c r="H35" s="17">
        <v>2</v>
      </c>
      <c r="I35" s="17">
        <v>2</v>
      </c>
      <c r="J35" s="17">
        <v>2</v>
      </c>
      <c r="K35" s="17">
        <v>2</v>
      </c>
      <c r="L35" s="17">
        <v>2</v>
      </c>
      <c r="M35" s="17">
        <v>2</v>
      </c>
      <c r="N35" s="18">
        <v>0</v>
      </c>
      <c r="O35" s="34">
        <v>0</v>
      </c>
      <c r="P35" s="34">
        <v>0</v>
      </c>
      <c r="Q35" s="34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</row>
    <row r="36" spans="1:23" ht="14.25" customHeight="1" x14ac:dyDescent="0.35">
      <c r="A36" s="58"/>
      <c r="B36" s="58"/>
      <c r="C36" s="33"/>
      <c r="D36" s="52"/>
      <c r="E36" s="51"/>
      <c r="F36" s="17"/>
      <c r="G36" s="17"/>
      <c r="H36" s="17"/>
      <c r="I36" s="17"/>
      <c r="J36" s="17"/>
      <c r="K36" s="17"/>
      <c r="L36" s="17"/>
      <c r="M36" s="17"/>
      <c r="N36" s="24">
        <v>1</v>
      </c>
      <c r="O36" s="17"/>
      <c r="P36" s="34"/>
      <c r="Q36" s="34"/>
      <c r="R36" s="17"/>
      <c r="S36" s="17"/>
      <c r="T36" s="17"/>
      <c r="U36" s="17"/>
      <c r="V36" s="17"/>
      <c r="W36" s="17"/>
    </row>
    <row r="37" spans="1:23" ht="14.25" customHeight="1" x14ac:dyDescent="0.35">
      <c r="A37" s="58"/>
      <c r="B37" s="59"/>
      <c r="C37" s="30" t="s">
        <v>113</v>
      </c>
      <c r="D37" s="52" t="s">
        <v>24</v>
      </c>
      <c r="E37" s="51"/>
      <c r="F37" s="17">
        <v>8</v>
      </c>
      <c r="G37" s="17">
        <v>10</v>
      </c>
      <c r="H37" s="17">
        <v>10</v>
      </c>
      <c r="I37" s="17">
        <v>10</v>
      </c>
      <c r="J37" s="17">
        <v>10</v>
      </c>
      <c r="K37" s="17">
        <v>10</v>
      </c>
      <c r="L37" s="17">
        <v>10</v>
      </c>
      <c r="M37" s="17">
        <v>8</v>
      </c>
      <c r="N37" s="18">
        <v>0</v>
      </c>
      <c r="O37" s="17">
        <v>0</v>
      </c>
      <c r="P37" s="34">
        <v>0</v>
      </c>
      <c r="Q37" s="34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</row>
    <row r="38" spans="1:23" ht="14.25" customHeight="1" x14ac:dyDescent="0.35">
      <c r="A38" s="58"/>
      <c r="B38" s="21"/>
      <c r="C38" s="30"/>
      <c r="D38" s="52"/>
      <c r="E38" s="51"/>
      <c r="F38" s="17"/>
      <c r="G38" s="17"/>
      <c r="H38" s="17"/>
      <c r="I38" s="17"/>
      <c r="J38" s="17"/>
      <c r="K38" s="17"/>
      <c r="L38" s="17"/>
      <c r="M38" s="17"/>
      <c r="N38" s="32">
        <v>2</v>
      </c>
      <c r="O38" s="17"/>
      <c r="P38" s="34"/>
      <c r="Q38" s="34"/>
      <c r="R38" s="17"/>
      <c r="S38" s="17"/>
      <c r="T38" s="17"/>
      <c r="U38" s="17"/>
      <c r="V38" s="17"/>
      <c r="W38" s="17"/>
    </row>
    <row r="39" spans="1:23" ht="14.25" customHeight="1" x14ac:dyDescent="0.35">
      <c r="A39" s="58"/>
      <c r="B39" s="57" t="s">
        <v>51</v>
      </c>
      <c r="C39" s="33" t="s">
        <v>114</v>
      </c>
      <c r="D39" s="52" t="s">
        <v>53</v>
      </c>
      <c r="E39" s="51"/>
      <c r="F39" s="17">
        <v>2</v>
      </c>
      <c r="G39" s="17">
        <v>2</v>
      </c>
      <c r="H39" s="17">
        <v>2</v>
      </c>
      <c r="I39" s="17">
        <v>2</v>
      </c>
      <c r="J39" s="17">
        <v>2</v>
      </c>
      <c r="K39" s="17">
        <v>2</v>
      </c>
      <c r="L39" s="17">
        <v>2</v>
      </c>
      <c r="M39" s="17">
        <v>2</v>
      </c>
      <c r="N39" s="17">
        <v>2</v>
      </c>
      <c r="O39" s="18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</row>
    <row r="40" spans="1:23" ht="14.25" customHeight="1" x14ac:dyDescent="0.35">
      <c r="A40" s="58"/>
      <c r="B40" s="58"/>
      <c r="C40" s="33" t="s">
        <v>115</v>
      </c>
      <c r="D40" s="52" t="s">
        <v>53</v>
      </c>
      <c r="E40" s="51"/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8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</row>
    <row r="41" spans="1:23" ht="14.25" customHeight="1" x14ac:dyDescent="0.35">
      <c r="A41" s="58"/>
      <c r="B41" s="58"/>
      <c r="C41" s="33" t="s">
        <v>116</v>
      </c>
      <c r="D41" s="52" t="s">
        <v>53</v>
      </c>
      <c r="E41" s="51"/>
      <c r="F41" s="17">
        <v>2</v>
      </c>
      <c r="G41" s="17">
        <v>2</v>
      </c>
      <c r="H41" s="17">
        <v>2</v>
      </c>
      <c r="I41" s="17">
        <v>2</v>
      </c>
      <c r="J41" s="17">
        <v>2</v>
      </c>
      <c r="K41" s="17">
        <v>2</v>
      </c>
      <c r="L41" s="17">
        <v>2</v>
      </c>
      <c r="M41" s="17">
        <v>2</v>
      </c>
      <c r="N41" s="17">
        <v>2</v>
      </c>
      <c r="O41" s="18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</row>
    <row r="42" spans="1:23" ht="14.25" customHeight="1" x14ac:dyDescent="0.35">
      <c r="A42" s="58"/>
      <c r="B42" s="58"/>
      <c r="C42" s="33" t="s">
        <v>117</v>
      </c>
      <c r="D42" s="52" t="s">
        <v>53</v>
      </c>
      <c r="E42" s="51"/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8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 ht="14.25" customHeight="1" x14ac:dyDescent="0.35">
      <c r="A43" s="58"/>
      <c r="B43" s="58"/>
      <c r="C43" s="33" t="s">
        <v>118</v>
      </c>
      <c r="D43" s="52" t="s">
        <v>53</v>
      </c>
      <c r="E43" s="51"/>
      <c r="F43" s="17">
        <v>2</v>
      </c>
      <c r="G43" s="17">
        <v>2</v>
      </c>
      <c r="H43" s="17">
        <v>2</v>
      </c>
      <c r="I43" s="17">
        <v>2</v>
      </c>
      <c r="J43" s="17">
        <v>2</v>
      </c>
      <c r="K43" s="17">
        <v>2</v>
      </c>
      <c r="L43" s="17">
        <v>2</v>
      </c>
      <c r="M43" s="17">
        <v>2</v>
      </c>
      <c r="N43" s="17">
        <v>2</v>
      </c>
      <c r="O43" s="17">
        <v>2</v>
      </c>
      <c r="P43" s="18">
        <v>0</v>
      </c>
      <c r="Q43" s="17">
        <v>0</v>
      </c>
      <c r="R43" s="17">
        <v>0</v>
      </c>
      <c r="S43" s="17">
        <v>0</v>
      </c>
      <c r="T43" s="17">
        <v>0</v>
      </c>
      <c r="U43" s="31">
        <v>0</v>
      </c>
      <c r="V43" s="31">
        <v>0</v>
      </c>
      <c r="W43" s="17">
        <v>0</v>
      </c>
    </row>
    <row r="44" spans="1:23" ht="14.25" customHeight="1" x14ac:dyDescent="0.35">
      <c r="A44" s="58"/>
      <c r="B44" s="58"/>
      <c r="C44" s="33" t="s">
        <v>119</v>
      </c>
      <c r="D44" s="52" t="s">
        <v>53</v>
      </c>
      <c r="E44" s="51"/>
      <c r="F44" s="17">
        <v>2</v>
      </c>
      <c r="G44" s="17">
        <v>3</v>
      </c>
      <c r="H44" s="17">
        <v>3</v>
      </c>
      <c r="I44" s="17">
        <v>3</v>
      </c>
      <c r="J44" s="17">
        <v>3</v>
      </c>
      <c r="K44" s="17">
        <v>3</v>
      </c>
      <c r="L44" s="17">
        <v>3</v>
      </c>
      <c r="M44" s="17">
        <v>3</v>
      </c>
      <c r="N44" s="17">
        <v>3</v>
      </c>
      <c r="O44" s="17">
        <v>2</v>
      </c>
      <c r="P44" s="18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</row>
    <row r="45" spans="1:23" ht="14.25" customHeight="1" x14ac:dyDescent="0.35">
      <c r="A45" s="58"/>
      <c r="B45" s="58"/>
      <c r="C45" s="33"/>
      <c r="D45" s="52"/>
      <c r="E45" s="51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32">
        <v>1</v>
      </c>
      <c r="Q45" s="17"/>
      <c r="R45" s="17"/>
      <c r="S45" s="17"/>
      <c r="T45" s="17"/>
      <c r="U45" s="17"/>
      <c r="V45" s="17"/>
      <c r="W45" s="17"/>
    </row>
    <row r="46" spans="1:23" ht="14.25" customHeight="1" x14ac:dyDescent="0.35">
      <c r="A46" s="58"/>
      <c r="B46" s="58"/>
      <c r="C46" s="33" t="s">
        <v>120</v>
      </c>
      <c r="D46" s="52" t="s">
        <v>53</v>
      </c>
      <c r="E46" s="51"/>
      <c r="F46" s="17">
        <v>2</v>
      </c>
      <c r="G46" s="17">
        <v>2</v>
      </c>
      <c r="H46" s="17">
        <v>2</v>
      </c>
      <c r="I46" s="17">
        <v>2</v>
      </c>
      <c r="J46" s="17">
        <v>2</v>
      </c>
      <c r="K46" s="17">
        <v>2</v>
      </c>
      <c r="L46" s="17">
        <v>2</v>
      </c>
      <c r="M46" s="17">
        <v>2</v>
      </c>
      <c r="N46" s="17">
        <v>2</v>
      </c>
      <c r="O46" s="17">
        <v>2</v>
      </c>
      <c r="P46" s="18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</row>
    <row r="47" spans="1:23" ht="14.25" customHeight="1" x14ac:dyDescent="0.35">
      <c r="A47" s="58"/>
      <c r="B47" s="58"/>
      <c r="C47" s="33" t="s">
        <v>121</v>
      </c>
      <c r="D47" s="52" t="s">
        <v>53</v>
      </c>
      <c r="E47" s="51"/>
      <c r="F47" s="17">
        <v>3</v>
      </c>
      <c r="G47" s="17">
        <v>3</v>
      </c>
      <c r="H47" s="17">
        <v>3</v>
      </c>
      <c r="I47" s="17">
        <v>3</v>
      </c>
      <c r="J47" s="17">
        <v>3</v>
      </c>
      <c r="K47" s="17">
        <v>3</v>
      </c>
      <c r="L47" s="17">
        <v>3</v>
      </c>
      <c r="M47" s="17">
        <v>3</v>
      </c>
      <c r="N47" s="17">
        <v>3</v>
      </c>
      <c r="O47" s="17">
        <v>3</v>
      </c>
      <c r="P47" s="17">
        <v>3</v>
      </c>
      <c r="Q47" s="18">
        <v>0</v>
      </c>
      <c r="R47" s="17">
        <v>0</v>
      </c>
      <c r="S47" s="17">
        <v>0</v>
      </c>
      <c r="T47" s="17">
        <v>0</v>
      </c>
      <c r="U47" s="17">
        <v>0</v>
      </c>
      <c r="V47" s="31">
        <v>0</v>
      </c>
      <c r="W47" s="17">
        <v>0</v>
      </c>
    </row>
    <row r="48" spans="1:23" ht="14.25" customHeight="1" x14ac:dyDescent="0.35">
      <c r="A48" s="58"/>
      <c r="B48" s="58"/>
      <c r="C48" s="33" t="s">
        <v>122</v>
      </c>
      <c r="D48" s="52" t="s">
        <v>53</v>
      </c>
      <c r="E48" s="51"/>
      <c r="F48" s="17">
        <v>2</v>
      </c>
      <c r="G48" s="17">
        <v>2</v>
      </c>
      <c r="H48" s="17">
        <v>2</v>
      </c>
      <c r="I48" s="17">
        <v>2</v>
      </c>
      <c r="J48" s="17">
        <v>2</v>
      </c>
      <c r="K48" s="17">
        <v>2</v>
      </c>
      <c r="L48" s="17">
        <v>2</v>
      </c>
      <c r="M48" s="17">
        <v>2</v>
      </c>
      <c r="N48" s="17">
        <v>2</v>
      </c>
      <c r="O48" s="17">
        <v>2</v>
      </c>
      <c r="P48" s="17">
        <v>2</v>
      </c>
      <c r="Q48" s="18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</row>
    <row r="49" spans="1:24" ht="14.25" customHeight="1" x14ac:dyDescent="0.35">
      <c r="A49" s="58"/>
      <c r="B49" s="58"/>
      <c r="C49" s="33" t="s">
        <v>123</v>
      </c>
      <c r="D49" s="52" t="s">
        <v>53</v>
      </c>
      <c r="E49" s="51"/>
      <c r="F49" s="17">
        <v>5</v>
      </c>
      <c r="G49" s="17">
        <v>3</v>
      </c>
      <c r="H49" s="17">
        <v>3</v>
      </c>
      <c r="I49" s="17">
        <v>3</v>
      </c>
      <c r="J49" s="17">
        <v>3</v>
      </c>
      <c r="K49" s="17">
        <v>3</v>
      </c>
      <c r="L49" s="17">
        <v>3</v>
      </c>
      <c r="M49" s="17">
        <v>3</v>
      </c>
      <c r="N49" s="17">
        <v>3</v>
      </c>
      <c r="O49" s="17">
        <v>3</v>
      </c>
      <c r="P49" s="17">
        <v>3</v>
      </c>
      <c r="Q49" s="18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</row>
    <row r="50" spans="1:24" ht="14.25" customHeight="1" x14ac:dyDescent="0.35">
      <c r="A50" s="58"/>
      <c r="B50" s="58"/>
      <c r="C50" s="33"/>
      <c r="D50" s="52"/>
      <c r="E50" s="51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24">
        <v>2</v>
      </c>
      <c r="R50" s="17"/>
      <c r="S50" s="17"/>
      <c r="T50" s="17"/>
      <c r="U50" s="17"/>
      <c r="V50" s="17"/>
      <c r="W50" s="17"/>
    </row>
    <row r="51" spans="1:24" ht="14.25" customHeight="1" x14ac:dyDescent="0.35">
      <c r="A51" s="58"/>
      <c r="B51" s="58"/>
      <c r="C51" s="33" t="s">
        <v>124</v>
      </c>
      <c r="D51" s="52" t="s">
        <v>53</v>
      </c>
      <c r="E51" s="51"/>
      <c r="F51" s="17">
        <v>2</v>
      </c>
      <c r="G51" s="17">
        <v>2</v>
      </c>
      <c r="H51" s="17">
        <v>2</v>
      </c>
      <c r="I51" s="17">
        <v>2</v>
      </c>
      <c r="J51" s="17">
        <v>2</v>
      </c>
      <c r="K51" s="17">
        <v>2</v>
      </c>
      <c r="L51" s="17">
        <v>2</v>
      </c>
      <c r="M51" s="17">
        <v>2</v>
      </c>
      <c r="N51" s="17">
        <v>2</v>
      </c>
      <c r="O51" s="17">
        <v>2</v>
      </c>
      <c r="P51" s="17">
        <v>2</v>
      </c>
      <c r="Q51" s="17">
        <v>2</v>
      </c>
      <c r="R51" s="18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</row>
    <row r="52" spans="1:24" ht="14.25" customHeight="1" x14ac:dyDescent="0.35">
      <c r="A52" s="58"/>
      <c r="B52" s="58"/>
      <c r="C52" s="33" t="s">
        <v>125</v>
      </c>
      <c r="D52" s="52" t="s">
        <v>53</v>
      </c>
      <c r="E52" s="51"/>
      <c r="F52" s="17">
        <v>4</v>
      </c>
      <c r="G52" s="17">
        <v>4</v>
      </c>
      <c r="H52" s="17">
        <v>4</v>
      </c>
      <c r="I52" s="17">
        <v>4</v>
      </c>
      <c r="J52" s="17">
        <v>4</v>
      </c>
      <c r="K52" s="17">
        <v>4</v>
      </c>
      <c r="L52" s="17">
        <v>4</v>
      </c>
      <c r="M52" s="17">
        <v>4</v>
      </c>
      <c r="N52" s="17">
        <v>4</v>
      </c>
      <c r="O52" s="17">
        <v>4</v>
      </c>
      <c r="P52" s="17">
        <v>4</v>
      </c>
      <c r="Q52" s="17">
        <v>4</v>
      </c>
      <c r="R52" s="18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</row>
    <row r="53" spans="1:24" ht="14.25" customHeight="1" x14ac:dyDescent="0.35">
      <c r="A53" s="58"/>
      <c r="B53" s="58"/>
      <c r="C53" s="33" t="s">
        <v>126</v>
      </c>
      <c r="D53" s="52" t="s">
        <v>53</v>
      </c>
      <c r="E53" s="51"/>
      <c r="F53" s="17">
        <v>3</v>
      </c>
      <c r="G53" s="17">
        <v>2</v>
      </c>
      <c r="H53" s="17">
        <v>2</v>
      </c>
      <c r="I53" s="17">
        <v>2</v>
      </c>
      <c r="J53" s="17">
        <v>2</v>
      </c>
      <c r="K53" s="17">
        <v>2</v>
      </c>
      <c r="L53" s="17">
        <v>2</v>
      </c>
      <c r="M53" s="17">
        <v>2</v>
      </c>
      <c r="N53" s="17">
        <v>2</v>
      </c>
      <c r="O53" s="17">
        <v>2</v>
      </c>
      <c r="P53" s="17">
        <v>2</v>
      </c>
      <c r="Q53" s="17">
        <v>2</v>
      </c>
      <c r="R53" s="18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</row>
    <row r="54" spans="1:24" ht="14.25" customHeight="1" x14ac:dyDescent="0.35">
      <c r="A54" s="58"/>
      <c r="B54" s="58"/>
      <c r="C54" s="33"/>
      <c r="D54" s="52"/>
      <c r="E54" s="51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24">
        <v>1</v>
      </c>
      <c r="S54" s="17"/>
      <c r="T54" s="17"/>
      <c r="U54" s="17"/>
      <c r="V54" s="17"/>
      <c r="W54" s="22"/>
    </row>
    <row r="55" spans="1:24" ht="14.25" customHeight="1" x14ac:dyDescent="0.35">
      <c r="A55" s="58"/>
      <c r="B55" s="58"/>
      <c r="C55" s="33" t="s">
        <v>127</v>
      </c>
      <c r="D55" s="52" t="s">
        <v>53</v>
      </c>
      <c r="E55" s="51"/>
      <c r="F55" s="17">
        <v>2</v>
      </c>
      <c r="G55" s="17">
        <v>2</v>
      </c>
      <c r="H55" s="17">
        <v>2</v>
      </c>
      <c r="I55" s="17">
        <v>2</v>
      </c>
      <c r="J55" s="17">
        <v>2</v>
      </c>
      <c r="K55" s="17">
        <v>2</v>
      </c>
      <c r="L55" s="17">
        <v>2</v>
      </c>
      <c r="M55" s="17">
        <v>2</v>
      </c>
      <c r="N55" s="17">
        <v>2</v>
      </c>
      <c r="O55" s="17">
        <v>2</v>
      </c>
      <c r="P55" s="17">
        <v>2</v>
      </c>
      <c r="Q55" s="17">
        <v>2</v>
      </c>
      <c r="R55" s="18">
        <v>0</v>
      </c>
      <c r="S55" s="17">
        <v>0</v>
      </c>
      <c r="T55" s="17">
        <v>0</v>
      </c>
      <c r="U55" s="17">
        <v>0</v>
      </c>
      <c r="V55" s="17">
        <v>0</v>
      </c>
      <c r="W55" s="22">
        <v>0</v>
      </c>
      <c r="X55" s="2"/>
    </row>
    <row r="56" spans="1:24" ht="14.25" customHeight="1" x14ac:dyDescent="0.35">
      <c r="A56" s="58"/>
      <c r="B56" s="59"/>
      <c r="C56" s="33" t="s">
        <v>128</v>
      </c>
      <c r="D56" s="52" t="s">
        <v>24</v>
      </c>
      <c r="E56" s="51"/>
      <c r="F56" s="17">
        <v>8</v>
      </c>
      <c r="G56" s="17">
        <v>10</v>
      </c>
      <c r="H56" s="17">
        <v>10</v>
      </c>
      <c r="I56" s="17">
        <v>10</v>
      </c>
      <c r="J56" s="17">
        <v>10</v>
      </c>
      <c r="K56" s="17">
        <v>10</v>
      </c>
      <c r="L56" s="17">
        <v>10</v>
      </c>
      <c r="M56" s="17">
        <v>10</v>
      </c>
      <c r="N56" s="17">
        <v>10</v>
      </c>
      <c r="O56" s="17">
        <v>10</v>
      </c>
      <c r="P56" s="17">
        <v>10</v>
      </c>
      <c r="Q56" s="17">
        <v>10</v>
      </c>
      <c r="R56" s="17">
        <v>8</v>
      </c>
      <c r="S56" s="18">
        <v>0</v>
      </c>
      <c r="T56" s="17">
        <v>0</v>
      </c>
      <c r="U56" s="17">
        <v>0</v>
      </c>
      <c r="V56" s="17">
        <v>0</v>
      </c>
      <c r="W56" s="17">
        <v>0</v>
      </c>
    </row>
    <row r="57" spans="1:24" ht="14.25" customHeight="1" x14ac:dyDescent="0.35">
      <c r="A57" s="58"/>
      <c r="B57" s="21"/>
      <c r="C57" s="33"/>
      <c r="D57" s="52"/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20">
        <v>2</v>
      </c>
      <c r="T57" s="17"/>
      <c r="U57" s="17"/>
      <c r="V57" s="17"/>
      <c r="W57" s="17"/>
    </row>
    <row r="58" spans="1:24" ht="14.25" customHeight="1" x14ac:dyDescent="0.35">
      <c r="A58" s="58"/>
      <c r="B58" s="57" t="s">
        <v>68</v>
      </c>
      <c r="C58" s="35" t="s">
        <v>129</v>
      </c>
      <c r="D58" s="52" t="s">
        <v>31</v>
      </c>
      <c r="E58" s="51"/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8">
        <v>0</v>
      </c>
      <c r="U58" s="17">
        <v>0</v>
      </c>
      <c r="V58" s="17">
        <v>0</v>
      </c>
      <c r="W58" s="17">
        <v>0</v>
      </c>
    </row>
    <row r="59" spans="1:24" ht="14.25" customHeight="1" x14ac:dyDescent="0.35">
      <c r="A59" s="58"/>
      <c r="B59" s="58"/>
      <c r="C59" s="35" t="s">
        <v>130</v>
      </c>
      <c r="D59" s="52" t="s">
        <v>42</v>
      </c>
      <c r="E59" s="51"/>
      <c r="F59" s="17">
        <v>1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8">
        <v>0</v>
      </c>
      <c r="U59" s="17">
        <v>0</v>
      </c>
      <c r="V59" s="17">
        <v>0</v>
      </c>
      <c r="W59" s="17">
        <v>0</v>
      </c>
    </row>
    <row r="60" spans="1:24" ht="14.25" customHeight="1" x14ac:dyDescent="0.35">
      <c r="A60" s="58"/>
      <c r="B60" s="58"/>
      <c r="C60" s="35" t="s">
        <v>131</v>
      </c>
      <c r="D60" s="52" t="s">
        <v>34</v>
      </c>
      <c r="E60" s="51"/>
      <c r="F60" s="17">
        <v>2</v>
      </c>
      <c r="G60" s="17">
        <v>2</v>
      </c>
      <c r="H60" s="17">
        <v>2</v>
      </c>
      <c r="I60" s="17">
        <v>2</v>
      </c>
      <c r="J60" s="17">
        <v>2</v>
      </c>
      <c r="K60" s="17">
        <v>2</v>
      </c>
      <c r="L60" s="17">
        <v>2</v>
      </c>
      <c r="M60" s="17">
        <v>2</v>
      </c>
      <c r="N60" s="17">
        <v>2</v>
      </c>
      <c r="O60" s="17">
        <v>2</v>
      </c>
      <c r="P60" s="17">
        <v>2</v>
      </c>
      <c r="Q60" s="17">
        <v>2</v>
      </c>
      <c r="R60" s="17">
        <v>2</v>
      </c>
      <c r="S60" s="17">
        <v>2</v>
      </c>
      <c r="T60" s="18">
        <v>0</v>
      </c>
      <c r="U60" s="17">
        <v>0</v>
      </c>
      <c r="V60" s="17">
        <v>0</v>
      </c>
      <c r="W60" s="17">
        <v>0</v>
      </c>
    </row>
    <row r="61" spans="1:24" ht="14.25" customHeight="1" x14ac:dyDescent="0.35">
      <c r="A61" s="58"/>
      <c r="B61" s="58"/>
      <c r="C61" s="35" t="s">
        <v>132</v>
      </c>
      <c r="D61" s="52" t="s">
        <v>42</v>
      </c>
      <c r="E61" s="51"/>
      <c r="F61" s="17">
        <v>2</v>
      </c>
      <c r="G61" s="17">
        <v>2</v>
      </c>
      <c r="H61" s="17">
        <v>2</v>
      </c>
      <c r="I61" s="17">
        <v>2</v>
      </c>
      <c r="J61" s="17">
        <v>2</v>
      </c>
      <c r="K61" s="17">
        <v>2</v>
      </c>
      <c r="L61" s="17">
        <v>2</v>
      </c>
      <c r="M61" s="17">
        <v>2</v>
      </c>
      <c r="N61" s="17">
        <v>2</v>
      </c>
      <c r="O61" s="17">
        <v>2</v>
      </c>
      <c r="P61" s="17">
        <v>2</v>
      </c>
      <c r="Q61" s="17">
        <v>2</v>
      </c>
      <c r="R61" s="17">
        <v>2</v>
      </c>
      <c r="S61" s="17">
        <v>2</v>
      </c>
      <c r="T61" s="18">
        <v>0</v>
      </c>
      <c r="U61" s="17">
        <v>0</v>
      </c>
      <c r="V61" s="17">
        <v>0</v>
      </c>
      <c r="W61" s="17">
        <v>0</v>
      </c>
    </row>
    <row r="62" spans="1:24" ht="14.25" customHeight="1" x14ac:dyDescent="0.35">
      <c r="A62" s="58"/>
      <c r="B62" s="58"/>
      <c r="C62" s="35" t="s">
        <v>133</v>
      </c>
      <c r="D62" s="52" t="s">
        <v>34</v>
      </c>
      <c r="E62" s="51"/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8">
        <v>0</v>
      </c>
      <c r="U62" s="17">
        <v>0</v>
      </c>
      <c r="V62" s="17">
        <v>0</v>
      </c>
      <c r="W62" s="17">
        <v>0</v>
      </c>
    </row>
    <row r="63" spans="1:24" ht="14.25" customHeight="1" x14ac:dyDescent="0.35">
      <c r="A63" s="58"/>
      <c r="B63" s="58"/>
      <c r="C63" s="35" t="s">
        <v>134</v>
      </c>
      <c r="D63" s="52" t="s">
        <v>26</v>
      </c>
      <c r="E63" s="51"/>
      <c r="F63" s="17">
        <v>1</v>
      </c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8">
        <v>0</v>
      </c>
      <c r="U63" s="17">
        <v>0</v>
      </c>
      <c r="V63" s="17">
        <v>0</v>
      </c>
      <c r="W63" s="17">
        <v>0</v>
      </c>
    </row>
    <row r="64" spans="1:24" ht="14.25" customHeight="1" x14ac:dyDescent="0.35">
      <c r="A64" s="58"/>
      <c r="B64" s="59"/>
      <c r="C64" s="35" t="s">
        <v>135</v>
      </c>
      <c r="D64" s="52" t="s">
        <v>26</v>
      </c>
      <c r="E64" s="51"/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8">
        <v>0</v>
      </c>
      <c r="U64" s="17">
        <v>0</v>
      </c>
      <c r="V64" s="17">
        <v>0</v>
      </c>
      <c r="W64" s="17">
        <v>0</v>
      </c>
    </row>
    <row r="65" spans="1:23" ht="14.25" customHeight="1" x14ac:dyDescent="0.35">
      <c r="A65" s="58"/>
      <c r="B65" s="57" t="s">
        <v>76</v>
      </c>
      <c r="C65" s="35" t="s">
        <v>136</v>
      </c>
      <c r="D65" s="52" t="s">
        <v>160</v>
      </c>
      <c r="E65" s="51"/>
      <c r="F65" s="17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8">
        <v>0</v>
      </c>
      <c r="V65" s="17">
        <v>0</v>
      </c>
      <c r="W65" s="17">
        <v>0</v>
      </c>
    </row>
    <row r="66" spans="1:23" ht="14.25" customHeight="1" x14ac:dyDescent="0.35">
      <c r="A66" s="58"/>
      <c r="B66" s="58"/>
      <c r="C66" s="35" t="s">
        <v>137</v>
      </c>
      <c r="D66" s="52" t="s">
        <v>160</v>
      </c>
      <c r="E66" s="51"/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8">
        <v>0</v>
      </c>
      <c r="V66" s="17">
        <v>0</v>
      </c>
      <c r="W66" s="17">
        <v>0</v>
      </c>
    </row>
    <row r="67" spans="1:23" ht="14.25" customHeight="1" x14ac:dyDescent="0.35">
      <c r="A67" s="58"/>
      <c r="B67" s="58"/>
      <c r="C67" s="35" t="s">
        <v>138</v>
      </c>
      <c r="D67" s="52" t="s">
        <v>160</v>
      </c>
      <c r="E67" s="51"/>
      <c r="F67" s="17">
        <v>2</v>
      </c>
      <c r="G67" s="17">
        <v>2</v>
      </c>
      <c r="H67" s="17">
        <v>2</v>
      </c>
      <c r="I67" s="17">
        <v>2</v>
      </c>
      <c r="J67" s="17">
        <v>2</v>
      </c>
      <c r="K67" s="17">
        <v>2</v>
      </c>
      <c r="L67" s="17">
        <v>2</v>
      </c>
      <c r="M67" s="17">
        <v>2</v>
      </c>
      <c r="N67" s="17">
        <v>2</v>
      </c>
      <c r="O67" s="17">
        <v>2</v>
      </c>
      <c r="P67" s="17">
        <v>2</v>
      </c>
      <c r="Q67" s="17">
        <v>2</v>
      </c>
      <c r="R67" s="17">
        <v>2</v>
      </c>
      <c r="S67" s="17">
        <v>2</v>
      </c>
      <c r="T67" s="17">
        <v>2</v>
      </c>
      <c r="U67" s="18">
        <v>0</v>
      </c>
      <c r="V67" s="17">
        <v>0</v>
      </c>
      <c r="W67" s="17">
        <v>0</v>
      </c>
    </row>
    <row r="68" spans="1:23" ht="14.25" customHeight="1" x14ac:dyDescent="0.35">
      <c r="A68" s="58"/>
      <c r="B68" s="58"/>
      <c r="C68" s="35" t="s">
        <v>139</v>
      </c>
      <c r="D68" s="52" t="s">
        <v>160</v>
      </c>
      <c r="E68" s="51"/>
      <c r="F68" s="17">
        <v>2</v>
      </c>
      <c r="G68" s="17">
        <v>2</v>
      </c>
      <c r="H68" s="17">
        <v>2</v>
      </c>
      <c r="I68" s="17">
        <v>2</v>
      </c>
      <c r="J68" s="17">
        <v>2</v>
      </c>
      <c r="K68" s="17">
        <v>2</v>
      </c>
      <c r="L68" s="17">
        <v>2</v>
      </c>
      <c r="M68" s="17">
        <v>2</v>
      </c>
      <c r="N68" s="17">
        <v>2</v>
      </c>
      <c r="O68" s="17">
        <v>2</v>
      </c>
      <c r="P68" s="17">
        <v>2</v>
      </c>
      <c r="Q68" s="17">
        <v>2</v>
      </c>
      <c r="R68" s="17">
        <v>2</v>
      </c>
      <c r="S68" s="17">
        <v>2</v>
      </c>
      <c r="T68" s="17">
        <v>2</v>
      </c>
      <c r="U68" s="18">
        <v>0</v>
      </c>
      <c r="V68" s="17">
        <v>0</v>
      </c>
      <c r="W68" s="17">
        <v>0</v>
      </c>
    </row>
    <row r="69" spans="1:23" ht="14.25" customHeight="1" x14ac:dyDescent="0.35">
      <c r="A69" s="58"/>
      <c r="B69" s="58"/>
      <c r="C69" s="35" t="s">
        <v>140</v>
      </c>
      <c r="D69" s="52" t="s">
        <v>160</v>
      </c>
      <c r="E69" s="51"/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8">
        <v>0</v>
      </c>
      <c r="V69" s="17">
        <v>0</v>
      </c>
      <c r="W69" s="17">
        <v>0</v>
      </c>
    </row>
    <row r="70" spans="1:23" ht="14.25" customHeight="1" x14ac:dyDescent="0.35">
      <c r="A70" s="58"/>
      <c r="B70" s="58"/>
      <c r="C70" s="35" t="s">
        <v>141</v>
      </c>
      <c r="D70" s="52" t="s">
        <v>160</v>
      </c>
      <c r="E70" s="51"/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8">
        <v>0</v>
      </c>
      <c r="V70" s="17">
        <v>0</v>
      </c>
      <c r="W70" s="17">
        <v>0</v>
      </c>
    </row>
    <row r="71" spans="1:23" ht="14.25" customHeight="1" x14ac:dyDescent="0.35">
      <c r="A71" s="58"/>
      <c r="B71" s="59"/>
      <c r="C71" s="35" t="s">
        <v>142</v>
      </c>
      <c r="D71" s="52" t="s">
        <v>160</v>
      </c>
      <c r="E71" s="51"/>
      <c r="F71" s="17">
        <v>3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8">
        <v>0</v>
      </c>
      <c r="V71" s="17">
        <v>0</v>
      </c>
      <c r="W71" s="17">
        <v>0</v>
      </c>
    </row>
    <row r="72" spans="1:23" ht="14.25" customHeight="1" x14ac:dyDescent="0.35">
      <c r="A72" s="58"/>
      <c r="B72" s="21"/>
      <c r="C72" s="35"/>
      <c r="D72" s="52"/>
      <c r="E72" s="51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24">
        <v>2</v>
      </c>
      <c r="V72" s="17"/>
      <c r="W72" s="17"/>
    </row>
    <row r="73" spans="1:23" ht="14.25" customHeight="1" x14ac:dyDescent="0.35">
      <c r="A73" s="58"/>
      <c r="B73" s="57" t="s">
        <v>85</v>
      </c>
      <c r="C73" s="35" t="s">
        <v>143</v>
      </c>
      <c r="D73" s="52" t="s">
        <v>31</v>
      </c>
      <c r="E73" s="51"/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8">
        <v>0</v>
      </c>
      <c r="W73" s="17">
        <v>0</v>
      </c>
    </row>
    <row r="74" spans="1:23" ht="14.25" customHeight="1" x14ac:dyDescent="0.35">
      <c r="A74" s="58"/>
      <c r="B74" s="58"/>
      <c r="C74" s="35" t="s">
        <v>144</v>
      </c>
      <c r="D74" s="52" t="s">
        <v>42</v>
      </c>
      <c r="E74" s="51"/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8">
        <v>0</v>
      </c>
      <c r="W74" s="17">
        <v>0</v>
      </c>
    </row>
    <row r="75" spans="1:23" ht="14.25" customHeight="1" x14ac:dyDescent="0.35">
      <c r="A75" s="58"/>
      <c r="B75" s="58"/>
      <c r="C75" s="35" t="s">
        <v>145</v>
      </c>
      <c r="D75" s="52" t="s">
        <v>34</v>
      </c>
      <c r="E75" s="51"/>
      <c r="F75" s="17">
        <v>2</v>
      </c>
      <c r="G75" s="17">
        <v>2</v>
      </c>
      <c r="H75" s="17">
        <v>2</v>
      </c>
      <c r="I75" s="17">
        <v>2</v>
      </c>
      <c r="J75" s="17">
        <v>2</v>
      </c>
      <c r="K75" s="17">
        <v>2</v>
      </c>
      <c r="L75" s="17">
        <v>2</v>
      </c>
      <c r="M75" s="17">
        <v>2</v>
      </c>
      <c r="N75" s="17">
        <v>2</v>
      </c>
      <c r="O75" s="17">
        <v>2</v>
      </c>
      <c r="P75" s="17">
        <v>2</v>
      </c>
      <c r="Q75" s="17">
        <v>2</v>
      </c>
      <c r="R75" s="17">
        <v>2</v>
      </c>
      <c r="S75" s="17">
        <v>2</v>
      </c>
      <c r="T75" s="17">
        <v>2</v>
      </c>
      <c r="U75" s="17">
        <v>2</v>
      </c>
      <c r="V75" s="18">
        <v>0</v>
      </c>
      <c r="W75" s="17">
        <v>0</v>
      </c>
    </row>
    <row r="76" spans="1:23" ht="14.25" customHeight="1" x14ac:dyDescent="0.35">
      <c r="A76" s="58"/>
      <c r="B76" s="58"/>
      <c r="C76" s="35" t="s">
        <v>146</v>
      </c>
      <c r="D76" s="52" t="s">
        <v>42</v>
      </c>
      <c r="E76" s="51"/>
      <c r="F76" s="17">
        <v>2</v>
      </c>
      <c r="G76" s="17">
        <v>2</v>
      </c>
      <c r="H76" s="17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8">
        <v>0</v>
      </c>
      <c r="W76" s="17">
        <v>0</v>
      </c>
    </row>
    <row r="77" spans="1:23" ht="14.25" customHeight="1" x14ac:dyDescent="0.35">
      <c r="A77" s="58"/>
      <c r="B77" s="58"/>
      <c r="C77" s="35" t="s">
        <v>147</v>
      </c>
      <c r="D77" s="52" t="s">
        <v>34</v>
      </c>
      <c r="E77" s="51"/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8">
        <v>0</v>
      </c>
      <c r="W77" s="17">
        <v>0</v>
      </c>
    </row>
    <row r="78" spans="1:23" ht="14.25" customHeight="1" x14ac:dyDescent="0.35">
      <c r="A78" s="58"/>
      <c r="B78" s="58"/>
      <c r="C78" s="35" t="s">
        <v>148</v>
      </c>
      <c r="D78" s="52" t="s">
        <v>26</v>
      </c>
      <c r="E78" s="51"/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8">
        <v>0</v>
      </c>
      <c r="W78" s="17">
        <v>0</v>
      </c>
    </row>
    <row r="79" spans="1:23" ht="14.25" customHeight="1" x14ac:dyDescent="0.35">
      <c r="A79" s="58"/>
      <c r="B79" s="59"/>
      <c r="C79" s="35" t="s">
        <v>149</v>
      </c>
      <c r="D79" s="52" t="s">
        <v>26</v>
      </c>
      <c r="E79" s="51"/>
      <c r="F79" s="17">
        <v>3</v>
      </c>
      <c r="G79" s="17">
        <v>1</v>
      </c>
      <c r="H79" s="17">
        <v>1</v>
      </c>
      <c r="I79" s="17">
        <v>1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8">
        <v>0</v>
      </c>
      <c r="W79" s="17">
        <v>0</v>
      </c>
    </row>
    <row r="80" spans="1:23" ht="14.25" customHeight="1" x14ac:dyDescent="0.35">
      <c r="A80" s="58"/>
      <c r="B80" s="21"/>
      <c r="C80" s="35"/>
      <c r="D80" s="52"/>
      <c r="E80" s="51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24">
        <v>2</v>
      </c>
      <c r="W80" s="17"/>
    </row>
    <row r="81" spans="1:23" ht="14.25" customHeight="1" x14ac:dyDescent="0.35">
      <c r="A81" s="58"/>
      <c r="B81" s="57" t="s">
        <v>150</v>
      </c>
      <c r="C81" s="30" t="s">
        <v>151</v>
      </c>
      <c r="D81" s="52" t="s">
        <v>24</v>
      </c>
      <c r="E81" s="51"/>
      <c r="F81" s="17">
        <v>5</v>
      </c>
      <c r="G81" s="17">
        <v>5</v>
      </c>
      <c r="H81" s="17">
        <v>5</v>
      </c>
      <c r="I81" s="17">
        <v>5</v>
      </c>
      <c r="J81" s="17">
        <v>5</v>
      </c>
      <c r="K81" s="17">
        <v>5</v>
      </c>
      <c r="L81" s="17">
        <v>5</v>
      </c>
      <c r="M81" s="17">
        <v>5</v>
      </c>
      <c r="N81" s="17">
        <v>5</v>
      </c>
      <c r="O81" s="17">
        <v>5</v>
      </c>
      <c r="P81" s="17">
        <v>5</v>
      </c>
      <c r="Q81" s="17">
        <v>5</v>
      </c>
      <c r="R81" s="17">
        <v>5</v>
      </c>
      <c r="S81" s="17">
        <v>5</v>
      </c>
      <c r="T81" s="17">
        <v>5</v>
      </c>
      <c r="U81" s="17">
        <v>5</v>
      </c>
      <c r="V81" s="17">
        <v>5</v>
      </c>
      <c r="W81" s="18">
        <v>0</v>
      </c>
    </row>
    <row r="82" spans="1:23" ht="14.25" customHeight="1" x14ac:dyDescent="0.35">
      <c r="A82" s="58"/>
      <c r="B82" s="59"/>
      <c r="C82" s="30" t="s">
        <v>152</v>
      </c>
      <c r="D82" s="52" t="s">
        <v>24</v>
      </c>
      <c r="E82" s="51"/>
      <c r="F82" s="17">
        <v>5</v>
      </c>
      <c r="G82" s="17">
        <v>5</v>
      </c>
      <c r="H82" s="17">
        <v>5</v>
      </c>
      <c r="I82" s="17">
        <v>5</v>
      </c>
      <c r="J82" s="17">
        <v>5</v>
      </c>
      <c r="K82" s="17">
        <v>5</v>
      </c>
      <c r="L82" s="17">
        <v>5</v>
      </c>
      <c r="M82" s="17">
        <v>5</v>
      </c>
      <c r="N82" s="17">
        <v>5</v>
      </c>
      <c r="O82" s="17">
        <v>5</v>
      </c>
      <c r="P82" s="17">
        <v>5</v>
      </c>
      <c r="Q82" s="17">
        <v>5</v>
      </c>
      <c r="R82" s="17">
        <v>5</v>
      </c>
      <c r="S82" s="17">
        <v>5</v>
      </c>
      <c r="T82" s="17">
        <v>5</v>
      </c>
      <c r="U82" s="17">
        <v>5</v>
      </c>
      <c r="V82" s="17">
        <v>5</v>
      </c>
      <c r="W82" s="18">
        <v>0</v>
      </c>
    </row>
    <row r="83" spans="1:23" ht="14.25" customHeight="1" x14ac:dyDescent="0.35">
      <c r="A83" s="58"/>
      <c r="B83" s="76" t="s">
        <v>18</v>
      </c>
      <c r="C83" s="66"/>
      <c r="D83" s="54" t="s">
        <v>11</v>
      </c>
      <c r="E83" s="51"/>
      <c r="F83" s="52">
        <f>SUM(F16:F82)</f>
        <v>137</v>
      </c>
      <c r="G83" s="51"/>
      <c r="H83" s="17">
        <f t="shared" ref="H83:K83" si="1">SUM(H16:H82)</f>
        <v>134</v>
      </c>
      <c r="I83" s="17">
        <f t="shared" si="1"/>
        <v>124</v>
      </c>
      <c r="J83" s="17">
        <f t="shared" si="1"/>
        <v>120</v>
      </c>
      <c r="K83" s="17">
        <f t="shared" si="1"/>
        <v>116</v>
      </c>
      <c r="L83" s="17">
        <f>SUM(L16:L82)+2</f>
        <v>114</v>
      </c>
      <c r="M83" s="17">
        <f>SUM(M16:M82)-2</f>
        <v>92</v>
      </c>
      <c r="N83" s="17">
        <f>SUM(N16:N82)-1</f>
        <v>80</v>
      </c>
      <c r="O83" s="17">
        <f>SUM(O16:O82)</f>
        <v>71</v>
      </c>
      <c r="P83" s="17">
        <f>SUM(P16:P82)-1</f>
        <v>65</v>
      </c>
      <c r="Q83" s="17">
        <f>SUM(Q16:Q82)+2</f>
        <v>61</v>
      </c>
      <c r="R83" s="17">
        <f>SUM(R16:R82)-1</f>
        <v>45</v>
      </c>
      <c r="S83" s="17">
        <f>SUM(S16:S82)+2</f>
        <v>41</v>
      </c>
      <c r="T83" s="17">
        <f>SUM(T16:T82)</f>
        <v>28</v>
      </c>
      <c r="U83" s="17">
        <f t="shared" ref="U83:V83" si="2">SUM(U16:U82)+2</f>
        <v>23</v>
      </c>
      <c r="V83" s="17">
        <f t="shared" si="2"/>
        <v>14</v>
      </c>
      <c r="W83" s="17">
        <f>SUM(W16:W82)</f>
        <v>0</v>
      </c>
    </row>
    <row r="84" spans="1:23" ht="14.25" customHeight="1" x14ac:dyDescent="0.35">
      <c r="A84" s="59"/>
      <c r="B84" s="67"/>
      <c r="C84" s="69"/>
      <c r="D84" s="54" t="s">
        <v>12</v>
      </c>
      <c r="E84" s="51"/>
      <c r="F84" s="52">
        <f>SUM(G16:G82)</f>
        <v>134</v>
      </c>
      <c r="G84" s="51"/>
      <c r="H84" s="17">
        <f t="shared" ref="H84:W84" si="3">SUM(H16:H82)</f>
        <v>134</v>
      </c>
      <c r="I84" s="17">
        <f t="shared" si="3"/>
        <v>124</v>
      </c>
      <c r="J84" s="17">
        <f t="shared" si="3"/>
        <v>120</v>
      </c>
      <c r="K84" s="17">
        <f t="shared" si="3"/>
        <v>116</v>
      </c>
      <c r="L84" s="17">
        <f t="shared" si="3"/>
        <v>112</v>
      </c>
      <c r="M84" s="17">
        <f t="shared" si="3"/>
        <v>94</v>
      </c>
      <c r="N84" s="17">
        <f t="shared" si="3"/>
        <v>81</v>
      </c>
      <c r="O84" s="17">
        <f t="shared" si="3"/>
        <v>71</v>
      </c>
      <c r="P84" s="17">
        <f t="shared" si="3"/>
        <v>66</v>
      </c>
      <c r="Q84" s="17">
        <f t="shared" si="3"/>
        <v>59</v>
      </c>
      <c r="R84" s="17">
        <f t="shared" si="3"/>
        <v>46</v>
      </c>
      <c r="S84" s="17">
        <f t="shared" si="3"/>
        <v>39</v>
      </c>
      <c r="T84" s="17">
        <f t="shared" si="3"/>
        <v>28</v>
      </c>
      <c r="U84" s="17">
        <f t="shared" si="3"/>
        <v>21</v>
      </c>
      <c r="V84" s="17">
        <f t="shared" si="3"/>
        <v>12</v>
      </c>
      <c r="W84" s="17">
        <f t="shared" si="3"/>
        <v>0</v>
      </c>
    </row>
    <row r="85" spans="1:23" ht="14.25" customHeight="1" x14ac:dyDescent="0.35">
      <c r="D85" s="77"/>
      <c r="E85" s="77"/>
    </row>
    <row r="86" spans="1:23" ht="14.25" customHeight="1" x14ac:dyDescent="0.35">
      <c r="D86" s="77"/>
      <c r="E86" s="77"/>
    </row>
    <row r="87" spans="1:23" ht="14.25" customHeight="1" x14ac:dyDescent="0.35">
      <c r="D87" s="77"/>
      <c r="E87" s="77"/>
    </row>
    <row r="88" spans="1:23" ht="14.25" customHeight="1" x14ac:dyDescent="0.35">
      <c r="D88" s="77"/>
      <c r="E88" s="77"/>
    </row>
    <row r="89" spans="1:23" ht="14.25" customHeight="1" x14ac:dyDescent="0.35">
      <c r="D89" s="77"/>
      <c r="E89" s="77"/>
    </row>
    <row r="90" spans="1:23" ht="14.25" customHeight="1" x14ac:dyDescent="0.35">
      <c r="D90" s="77"/>
      <c r="E90" s="77"/>
    </row>
    <row r="91" spans="1:23" ht="14.25" customHeight="1" x14ac:dyDescent="0.35">
      <c r="D91" s="77"/>
      <c r="E91" s="77"/>
    </row>
    <row r="92" spans="1:23" ht="14.25" customHeight="1" x14ac:dyDescent="0.35">
      <c r="D92" s="77"/>
      <c r="E92" s="77"/>
    </row>
    <row r="93" spans="1:23" ht="14.25" customHeight="1" x14ac:dyDescent="0.35">
      <c r="D93" s="77"/>
      <c r="E93" s="77"/>
    </row>
    <row r="94" spans="1:23" ht="14.25" customHeight="1" x14ac:dyDescent="0.35">
      <c r="D94" s="77"/>
      <c r="E94" s="77"/>
    </row>
    <row r="95" spans="1:23" ht="14.25" customHeight="1" x14ac:dyDescent="0.35">
      <c r="D95" s="77"/>
      <c r="E95" s="77"/>
    </row>
    <row r="96" spans="1:23" ht="14.25" customHeight="1" x14ac:dyDescent="0.35">
      <c r="D96" s="77"/>
      <c r="E96" s="77"/>
    </row>
    <row r="97" spans="3:5" ht="14.25" customHeight="1" x14ac:dyDescent="0.35">
      <c r="D97" s="77"/>
      <c r="E97" s="77"/>
    </row>
    <row r="98" spans="3:5" ht="14.25" customHeight="1" x14ac:dyDescent="0.35">
      <c r="D98" s="77"/>
      <c r="E98" s="77"/>
    </row>
    <row r="99" spans="3:5" ht="14.25" customHeight="1" x14ac:dyDescent="0.35">
      <c r="D99" s="77"/>
      <c r="E99" s="77"/>
    </row>
    <row r="100" spans="3:5" ht="14.25" customHeight="1" x14ac:dyDescent="0.35">
      <c r="D100" s="77"/>
      <c r="E100" s="77"/>
    </row>
    <row r="101" spans="3:5" ht="14.25" customHeight="1" x14ac:dyDescent="0.35">
      <c r="D101" s="77"/>
      <c r="E101" s="77"/>
    </row>
    <row r="102" spans="3:5" ht="14.25" customHeight="1" x14ac:dyDescent="0.35">
      <c r="D102" s="77"/>
      <c r="E102" s="77"/>
    </row>
    <row r="103" spans="3:5" ht="14.25" customHeight="1" x14ac:dyDescent="0.35">
      <c r="D103" s="77"/>
      <c r="E103" s="77"/>
    </row>
    <row r="104" spans="3:5" ht="14.25" customHeight="1" x14ac:dyDescent="0.35">
      <c r="D104" s="77"/>
      <c r="E104" s="77"/>
    </row>
    <row r="105" spans="3:5" ht="14.25" customHeight="1" x14ac:dyDescent="0.35">
      <c r="C105" s="36"/>
      <c r="D105" s="77"/>
      <c r="E105" s="77"/>
    </row>
    <row r="106" spans="3:5" ht="14.25" customHeight="1" x14ac:dyDescent="0.35">
      <c r="D106" s="77"/>
      <c r="E106" s="77"/>
    </row>
    <row r="107" spans="3:5" ht="14.25" customHeight="1" x14ac:dyDescent="0.35">
      <c r="D107" s="77"/>
      <c r="E107" s="77"/>
    </row>
    <row r="108" spans="3:5" ht="14.25" customHeight="1" x14ac:dyDescent="0.35">
      <c r="D108" s="77"/>
      <c r="E108" s="77"/>
    </row>
    <row r="109" spans="3:5" ht="14.25" customHeight="1" x14ac:dyDescent="0.35">
      <c r="D109" s="77"/>
      <c r="E109" s="77"/>
    </row>
    <row r="110" spans="3:5" ht="14.25" customHeight="1" x14ac:dyDescent="0.35">
      <c r="D110" s="77"/>
      <c r="E110" s="77"/>
    </row>
    <row r="111" spans="3:5" ht="14.25" customHeight="1" x14ac:dyDescent="0.35">
      <c r="D111" s="77"/>
      <c r="E111" s="77"/>
    </row>
    <row r="112" spans="3:5" ht="14.25" customHeight="1" x14ac:dyDescent="0.35">
      <c r="D112" s="77"/>
      <c r="E112" s="77"/>
    </row>
    <row r="113" spans="4:5" ht="14.25" customHeight="1" x14ac:dyDescent="0.35">
      <c r="D113" s="77"/>
      <c r="E113" s="77"/>
    </row>
    <row r="114" spans="4:5" ht="14.25" customHeight="1" x14ac:dyDescent="0.35">
      <c r="D114" s="77"/>
      <c r="E114" s="77"/>
    </row>
    <row r="115" spans="4:5" ht="14.25" customHeight="1" x14ac:dyDescent="0.35">
      <c r="D115" s="77"/>
      <c r="E115" s="77"/>
    </row>
    <row r="116" spans="4:5" ht="14.25" customHeight="1" x14ac:dyDescent="0.35">
      <c r="D116" s="77"/>
      <c r="E116" s="77"/>
    </row>
    <row r="117" spans="4:5" ht="14.25" customHeight="1" x14ac:dyDescent="0.35">
      <c r="D117" s="77"/>
      <c r="E117" s="77"/>
    </row>
    <row r="118" spans="4:5" ht="14.25" customHeight="1" x14ac:dyDescent="0.35">
      <c r="D118" s="77"/>
      <c r="E118" s="77"/>
    </row>
    <row r="119" spans="4:5" ht="14.25" customHeight="1" x14ac:dyDescent="0.35">
      <c r="D119" s="77"/>
      <c r="E119" s="77"/>
    </row>
    <row r="120" spans="4:5" ht="14.25" customHeight="1" x14ac:dyDescent="0.35">
      <c r="D120" s="77"/>
      <c r="E120" s="77"/>
    </row>
    <row r="121" spans="4:5" ht="14.25" customHeight="1" x14ac:dyDescent="0.35">
      <c r="D121" s="77"/>
      <c r="E121" s="77"/>
    </row>
    <row r="122" spans="4:5" ht="14.25" customHeight="1" x14ac:dyDescent="0.35">
      <c r="D122" s="77"/>
      <c r="E122" s="77"/>
    </row>
    <row r="123" spans="4:5" ht="14.25" customHeight="1" x14ac:dyDescent="0.35">
      <c r="D123" s="77"/>
      <c r="E123" s="77"/>
    </row>
    <row r="124" spans="4:5" ht="14.25" customHeight="1" x14ac:dyDescent="0.35">
      <c r="D124" s="77"/>
      <c r="E124" s="77"/>
    </row>
    <row r="125" spans="4:5" ht="14.25" customHeight="1" x14ac:dyDescent="0.35">
      <c r="D125" s="77"/>
      <c r="E125" s="77"/>
    </row>
    <row r="126" spans="4:5" ht="14.25" customHeight="1" x14ac:dyDescent="0.35">
      <c r="D126" s="77"/>
      <c r="E126" s="77"/>
    </row>
    <row r="127" spans="4:5" ht="14.25" customHeight="1" x14ac:dyDescent="0.35">
      <c r="D127" s="77"/>
      <c r="E127" s="77"/>
    </row>
    <row r="128" spans="4:5" ht="14.25" customHeight="1" x14ac:dyDescent="0.35">
      <c r="D128" s="77"/>
      <c r="E128" s="77"/>
    </row>
    <row r="129" spans="4:5" ht="14.25" customHeight="1" x14ac:dyDescent="0.35">
      <c r="D129" s="77"/>
      <c r="E129" s="77"/>
    </row>
    <row r="130" spans="4:5" ht="14.25" customHeight="1" x14ac:dyDescent="0.35">
      <c r="D130" s="77"/>
      <c r="E130" s="77"/>
    </row>
    <row r="131" spans="4:5" ht="14.25" customHeight="1" x14ac:dyDescent="0.35">
      <c r="D131" s="77"/>
      <c r="E131" s="77"/>
    </row>
    <row r="132" spans="4:5" ht="14.25" customHeight="1" x14ac:dyDescent="0.35">
      <c r="D132" s="77"/>
      <c r="E132" s="77"/>
    </row>
    <row r="133" spans="4:5" ht="14.25" customHeight="1" x14ac:dyDescent="0.35"/>
    <row r="134" spans="4:5" ht="14.25" customHeight="1" x14ac:dyDescent="0.35"/>
    <row r="135" spans="4:5" ht="14.25" customHeight="1" x14ac:dyDescent="0.35"/>
    <row r="136" spans="4:5" ht="14.25" customHeight="1" x14ac:dyDescent="0.35"/>
    <row r="137" spans="4:5" ht="14.25" customHeight="1" x14ac:dyDescent="0.35"/>
    <row r="138" spans="4:5" ht="14.25" customHeight="1" x14ac:dyDescent="0.35"/>
    <row r="139" spans="4:5" ht="14.25" customHeight="1" x14ac:dyDescent="0.35"/>
    <row r="140" spans="4:5" ht="14.25" customHeight="1" x14ac:dyDescent="0.35"/>
    <row r="141" spans="4:5" ht="14.25" customHeight="1" x14ac:dyDescent="0.35"/>
    <row r="142" spans="4:5" ht="14.25" customHeight="1" x14ac:dyDescent="0.35"/>
    <row r="143" spans="4:5" ht="14.25" customHeight="1" x14ac:dyDescent="0.35"/>
    <row r="144" spans="4: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</sheetData>
  <mergeCells count="140">
    <mergeCell ref="D100:E100"/>
    <mergeCell ref="D101:E101"/>
    <mergeCell ref="D102:E102"/>
    <mergeCell ref="D105:E105"/>
    <mergeCell ref="D129:E129"/>
    <mergeCell ref="D130:E130"/>
    <mergeCell ref="D131:E131"/>
    <mergeCell ref="D132:E132"/>
    <mergeCell ref="D103:E103"/>
    <mergeCell ref="D104:E104"/>
    <mergeCell ref="D113:E113"/>
    <mergeCell ref="D106:E106"/>
    <mergeCell ref="D107:E107"/>
    <mergeCell ref="D112:E112"/>
    <mergeCell ref="D108:E108"/>
    <mergeCell ref="D109:E109"/>
    <mergeCell ref="D110:E110"/>
    <mergeCell ref="D111:E111"/>
    <mergeCell ref="D117:E117"/>
    <mergeCell ref="D118:E118"/>
    <mergeCell ref="D119:E119"/>
    <mergeCell ref="D120:E120"/>
    <mergeCell ref="D121:E121"/>
    <mergeCell ref="D123:E123"/>
    <mergeCell ref="D124:E124"/>
    <mergeCell ref="D114:E114"/>
    <mergeCell ref="D115:E115"/>
    <mergeCell ref="D116:E116"/>
    <mergeCell ref="D127:E127"/>
    <mergeCell ref="D128:E128"/>
    <mergeCell ref="D125:E125"/>
    <mergeCell ref="D126:E126"/>
    <mergeCell ref="D122:E122"/>
    <mergeCell ref="D96:E96"/>
    <mergeCell ref="D97:E97"/>
    <mergeCell ref="F83:G83"/>
    <mergeCell ref="F84:G84"/>
    <mergeCell ref="D91:E91"/>
    <mergeCell ref="D92:E92"/>
    <mergeCell ref="D93:E93"/>
    <mergeCell ref="D98:E98"/>
    <mergeCell ref="D99:E99"/>
    <mergeCell ref="D47:E47"/>
    <mergeCell ref="D85:E85"/>
    <mergeCell ref="D86:E86"/>
    <mergeCell ref="D87:E87"/>
    <mergeCell ref="D88:E88"/>
    <mergeCell ref="D89:E89"/>
    <mergeCell ref="D90:E90"/>
    <mergeCell ref="D94:E94"/>
    <mergeCell ref="D95:E95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G2:I2"/>
    <mergeCell ref="G3:I3"/>
    <mergeCell ref="B6:E6"/>
    <mergeCell ref="D15:E15"/>
    <mergeCell ref="A4:B4"/>
    <mergeCell ref="B58:B64"/>
    <mergeCell ref="B65:B71"/>
    <mergeCell ref="B83:C84"/>
    <mergeCell ref="B29:B37"/>
    <mergeCell ref="B39:B56"/>
    <mergeCell ref="B19:B27"/>
    <mergeCell ref="A16:A84"/>
    <mergeCell ref="B16:C16"/>
    <mergeCell ref="B17:C17"/>
    <mergeCell ref="B18:C18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71:E71"/>
    <mergeCell ref="D72:E72"/>
    <mergeCell ref="D75:E75"/>
    <mergeCell ref="D76:E76"/>
    <mergeCell ref="D77:E77"/>
    <mergeCell ref="D83:E83"/>
    <mergeCell ref="D84:E84"/>
    <mergeCell ref="A1:B1"/>
    <mergeCell ref="A2:B2"/>
    <mergeCell ref="A3:B3"/>
    <mergeCell ref="B13:C13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B81:B82"/>
    <mergeCell ref="B73:B79"/>
    <mergeCell ref="D73:E73"/>
    <mergeCell ref="D74:E74"/>
    <mergeCell ref="D80:E80"/>
    <mergeCell ref="D81:E81"/>
    <mergeCell ref="D82:E82"/>
    <mergeCell ref="D78:E78"/>
    <mergeCell ref="D79:E79"/>
    <mergeCell ref="D57:E57"/>
    <mergeCell ref="D58:E58"/>
    <mergeCell ref="D59:E59"/>
    <mergeCell ref="D69:E69"/>
    <mergeCell ref="D70:E70"/>
    <mergeCell ref="D67:E67"/>
    <mergeCell ref="D68:E68"/>
    <mergeCell ref="D60:E60"/>
    <mergeCell ref="D61:E61"/>
    <mergeCell ref="D62:E62"/>
    <mergeCell ref="D63:E63"/>
    <mergeCell ref="D64:E64"/>
    <mergeCell ref="D65:E65"/>
    <mergeCell ref="D66:E66"/>
    <mergeCell ref="D55:E55"/>
    <mergeCell ref="D56:E56"/>
    <mergeCell ref="D48:E48"/>
    <mergeCell ref="D49:E49"/>
    <mergeCell ref="D50:E50"/>
    <mergeCell ref="D51:E51"/>
    <mergeCell ref="D52:E52"/>
    <mergeCell ref="D53:E53"/>
    <mergeCell ref="D54:E5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74"/>
  <sheetViews>
    <sheetView workbookViewId="0">
      <selection activeCell="C1" sqref="C1"/>
    </sheetView>
  </sheetViews>
  <sheetFormatPr defaultColWidth="14.453125" defaultRowHeight="15" customHeight="1" x14ac:dyDescent="0.35"/>
  <cols>
    <col min="1" max="1" width="19.54296875" customWidth="1"/>
    <col min="2" max="2" width="19" customWidth="1"/>
    <col min="3" max="3" width="65.6328125" customWidth="1"/>
    <col min="4" max="4" width="11.54296875" customWidth="1"/>
    <col min="5" max="5" width="9.54296875" customWidth="1"/>
    <col min="6" max="6" width="19.26953125" customWidth="1"/>
    <col min="7" max="7" width="6" customWidth="1"/>
    <col min="8" max="8" width="6.08984375" customWidth="1"/>
    <col min="9" max="12" width="6" customWidth="1"/>
    <col min="13" max="13" width="6.08984375" customWidth="1"/>
    <col min="14" max="17" width="6" customWidth="1"/>
    <col min="18" max="18" width="6.08984375" customWidth="1"/>
    <col min="19" max="21" width="6" customWidth="1"/>
    <col min="22" max="24" width="6.08984375" customWidth="1"/>
    <col min="25" max="26" width="10.453125" customWidth="1"/>
  </cols>
  <sheetData>
    <row r="1" spans="1:26" ht="16.5" customHeight="1" x14ac:dyDescent="0.35">
      <c r="A1" s="55" t="s">
        <v>0</v>
      </c>
      <c r="B1" s="56"/>
      <c r="C1" s="37" t="s">
        <v>221</v>
      </c>
      <c r="D1" s="2"/>
      <c r="E1" s="3"/>
      <c r="F1" s="4" t="s">
        <v>153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35">
      <c r="A2" s="55" t="s">
        <v>2</v>
      </c>
      <c r="B2" s="56"/>
      <c r="C2" s="5" t="s">
        <v>154</v>
      </c>
      <c r="D2" s="2"/>
      <c r="E2" s="38"/>
      <c r="F2" s="7" t="s">
        <v>155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5">
      <c r="A3" s="55" t="s">
        <v>5</v>
      </c>
      <c r="B3" s="56"/>
      <c r="C3" s="8">
        <v>46133</v>
      </c>
      <c r="D3" s="2"/>
      <c r="E3" s="6"/>
      <c r="F3" s="7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35">
      <c r="A4" s="55" t="s">
        <v>7</v>
      </c>
      <c r="B4" s="56"/>
      <c r="C4" s="8">
        <v>46149</v>
      </c>
      <c r="D4" s="2" t="s">
        <v>156</v>
      </c>
      <c r="E4" s="39"/>
      <c r="F4" s="7" t="s">
        <v>157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 x14ac:dyDescent="0.35">
      <c r="A5" s="2"/>
      <c r="B5" s="2"/>
      <c r="C5" s="2"/>
      <c r="D5" s="2"/>
      <c r="E5" s="9"/>
      <c r="F5" s="10" t="s">
        <v>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 x14ac:dyDescent="0.35">
      <c r="A6" s="2"/>
      <c r="B6" s="60" t="s">
        <v>158</v>
      </c>
      <c r="C6" s="61"/>
      <c r="D6" s="61"/>
      <c r="E6" s="5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 x14ac:dyDescent="0.35">
      <c r="A7" s="2"/>
      <c r="B7" s="11" t="s">
        <v>9</v>
      </c>
      <c r="C7" s="11" t="s">
        <v>10</v>
      </c>
      <c r="D7" s="11" t="s">
        <v>11</v>
      </c>
      <c r="E7" s="11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 x14ac:dyDescent="0.35">
      <c r="A8" s="2"/>
      <c r="B8" s="12">
        <v>1</v>
      </c>
      <c r="C8" s="92" t="s">
        <v>13</v>
      </c>
      <c r="D8" s="5">
        <f>SUMIF($E$16:$E$78,"Hiệu",$G$16:$G$78)+SUMIF($E$16:$E$78,"All team",$G$16:$G$78)/5+SUMIF($E$16:$E$78,"Hiệu, Việt",$G$16:$G$78)/2+SUMIF($E$16:$E$78,"Hiệu, Tài",$G$16:$G$78)/2</f>
        <v>48.1</v>
      </c>
      <c r="E8" s="5">
        <f>SUMIF($E$16:$E$78,"Hiệu",$H$16:$H$78)+SUMIF($E$16:$E$78,"All team",$H$16:$H$78)/5+SUMIF($E$16:$E$78,"Hiệu, Việt",$H$16:$H$78)/2+SUMIF($E$16:$E$78,"Hiệu, Tài",$H$16:$H$78)/2</f>
        <v>47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 x14ac:dyDescent="0.35">
      <c r="A9" s="2"/>
      <c r="B9" s="12">
        <v>2</v>
      </c>
      <c r="C9" s="92" t="s">
        <v>14</v>
      </c>
      <c r="D9" s="5">
        <f>SUMIF($E$16:$E$78,"Thức",$G$16:$G$78)+SUMIF($E$16:$E$78,"All team",$G$16:$G$78)/5+SUMIF($E$16:$E$78,"Thức,Việt,Vinh,Tài",$G$16:$G$78)/4</f>
        <v>16.100000000000001</v>
      </c>
      <c r="E9" s="5">
        <f>SUMIF($E$16:$E$78,"Thức",$H$16:$H$78)+SUMIF($E$16:$E$78,"All team",$H$16:$H$78)/5+SUMIF($E$16:$E$78,"Thức,Việt,Vinh,Tài",$H$16:$H$78)/4</f>
        <v>17.5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 x14ac:dyDescent="0.35">
      <c r="A10" s="2"/>
      <c r="B10" s="12">
        <v>3</v>
      </c>
      <c r="C10" s="92" t="s">
        <v>15</v>
      </c>
      <c r="D10" s="5">
        <f>SUMIF($E$16:$E$78,"Tài",$G$16:$G$78)+SUMIF($E$16:$E$78,"All team",$G$16:$G$78)/5+SUMIF($E$16:$E$78,"Thức,Việt,Vinh,Tài",$G$16:$G$78)/4+SUMIF($E$16:$E$78,"Hiệu, Tài",$G$16:$G$78)/2</f>
        <v>16.100000000000001</v>
      </c>
      <c r="E10" s="5">
        <f>SUMIF($E$16:$E$78,"Tài",$H$16:$H$78)+SUMIF($E$16:$E$78,"All team",$H$16:$H$78)/5+SUMIF($E$16:$E$78,"Thức,Việt,Vinh,Tài",$H$16:$H$78)/4+SUMIF($E$16:$E$78,"Hiệu, Tài",$H$16:$H$78)/2</f>
        <v>15.5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 x14ac:dyDescent="0.35">
      <c r="A11" s="2"/>
      <c r="B11" s="12">
        <v>4</v>
      </c>
      <c r="C11" s="92" t="s">
        <v>16</v>
      </c>
      <c r="D11" s="5">
        <f>SUMIF($E$16:$E$78,"Vinh",$G$16:$G$78)+SUMIF($E$16:$E$78,"All team",$G$16:$G$78)/5+SUMIF($E$16:$E$78,"Thức,Việt,Vinh,Tài",$G$16:$G$78)/4</f>
        <v>16.100000000000001</v>
      </c>
      <c r="E11" s="5">
        <f>SUMIF($E$16:$E$78,"Vinh",$H$16:$H$78)+SUMIF($E$16:$E$78,"All team",$H$16:$H$78)/5+SUMIF($E$16:$E$78,"Thức,Việt,Vinh,Tài",$H$16:$H$78)/4</f>
        <v>16.5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 customHeight="1" x14ac:dyDescent="0.35">
      <c r="A12" s="2"/>
      <c r="B12" s="12">
        <v>5</v>
      </c>
      <c r="C12" s="92" t="s">
        <v>17</v>
      </c>
      <c r="D12" s="5">
        <f>SUMIF($E$16:$E$78,"Việt",$G$16:$G$78)+SUMIF($E$16:$E$78,"All team",$G$16:$G$78)/5+SUMIF($E$16:$E$78,"Thức,Việt,Vinh,Tài",$G$16:$G$78)/4+SUMIF($E$16:$E$78,"Hiệu, Việt",$G$16:$G$78)/2</f>
        <v>15.6</v>
      </c>
      <c r="E12" s="5">
        <f>SUMIF($E$16:$E$78,"Việt",$H$16:$H$78)+SUMIF($E$16:$E$78,"All team",$H$16:$H$78)/5+SUMIF($E$16:$E$78,"Thức,Việt,Vinh,Tài",$H$16:$H$78)/4+SUMIF($E$16:$E$78,"Hiệu, Việt",$H$16:$H$78)/2</f>
        <v>17.5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 x14ac:dyDescent="0.35">
      <c r="A13" s="2"/>
      <c r="B13" s="60" t="s">
        <v>18</v>
      </c>
      <c r="C13" s="56"/>
      <c r="D13" s="13">
        <f t="shared" ref="D13:E13" si="0">SUM(D8:D12)</f>
        <v>112</v>
      </c>
      <c r="E13" s="13">
        <f t="shared" si="0"/>
        <v>114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63.75" customHeight="1" x14ac:dyDescent="0.35">
      <c r="A15" s="14" t="s">
        <v>19</v>
      </c>
      <c r="B15" s="14" t="s">
        <v>20</v>
      </c>
      <c r="C15" s="62" t="s">
        <v>21</v>
      </c>
      <c r="D15" s="51"/>
      <c r="E15" s="62" t="s">
        <v>22</v>
      </c>
      <c r="F15" s="51"/>
      <c r="G15" s="15" t="s">
        <v>11</v>
      </c>
      <c r="H15" s="15" t="s">
        <v>12</v>
      </c>
      <c r="I15" s="16">
        <v>46133</v>
      </c>
      <c r="J15" s="16">
        <v>46134</v>
      </c>
      <c r="K15" s="16">
        <v>46135</v>
      </c>
      <c r="L15" s="16">
        <v>46136</v>
      </c>
      <c r="M15" s="16">
        <v>46137</v>
      </c>
      <c r="N15" s="16">
        <v>46138</v>
      </c>
      <c r="O15" s="16">
        <v>46139</v>
      </c>
      <c r="P15" s="16">
        <v>46140</v>
      </c>
      <c r="Q15" s="16">
        <v>46141</v>
      </c>
      <c r="R15" s="16">
        <v>46142</v>
      </c>
      <c r="S15" s="16">
        <v>46143</v>
      </c>
      <c r="T15" s="16">
        <v>46144</v>
      </c>
      <c r="U15" s="16">
        <v>46145</v>
      </c>
      <c r="V15" s="16">
        <v>46146</v>
      </c>
      <c r="W15" s="16">
        <v>46147</v>
      </c>
      <c r="X15" s="16">
        <v>46148</v>
      </c>
      <c r="Y15" s="16">
        <v>46149</v>
      </c>
      <c r="Z15" s="16">
        <v>46150</v>
      </c>
    </row>
    <row r="16" spans="1:26" ht="16.5" customHeight="1" x14ac:dyDescent="0.35">
      <c r="A16" s="57" t="s">
        <v>154</v>
      </c>
      <c r="B16" s="50" t="s">
        <v>23</v>
      </c>
      <c r="C16" s="63"/>
      <c r="D16" s="51"/>
      <c r="E16" s="52" t="s">
        <v>24</v>
      </c>
      <c r="F16" s="51"/>
      <c r="G16" s="17">
        <v>10</v>
      </c>
      <c r="H16" s="17">
        <v>10</v>
      </c>
      <c r="I16" s="31">
        <v>10</v>
      </c>
      <c r="J16" s="18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</row>
    <row r="17" spans="1:26" ht="16.5" customHeight="1" x14ac:dyDescent="0.35">
      <c r="A17" s="58"/>
      <c r="B17" s="50" t="s">
        <v>159</v>
      </c>
      <c r="C17" s="63"/>
      <c r="D17" s="51"/>
      <c r="E17" s="52" t="s">
        <v>42</v>
      </c>
      <c r="F17" s="51"/>
      <c r="G17" s="17">
        <v>1</v>
      </c>
      <c r="H17" s="17">
        <v>2</v>
      </c>
      <c r="I17" s="17">
        <v>2</v>
      </c>
      <c r="J17" s="17">
        <v>1</v>
      </c>
      <c r="K17" s="18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</row>
    <row r="18" spans="1:26" ht="16.5" customHeight="1" x14ac:dyDescent="0.35">
      <c r="A18" s="58"/>
      <c r="B18" s="52"/>
      <c r="C18" s="63"/>
      <c r="D18" s="51"/>
      <c r="E18" s="52"/>
      <c r="F18" s="51"/>
      <c r="G18" s="17"/>
      <c r="H18" s="17"/>
      <c r="I18" s="17"/>
      <c r="J18" s="17"/>
      <c r="K18" s="20">
        <v>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6.5" customHeight="1" x14ac:dyDescent="0.35">
      <c r="A19" s="58"/>
      <c r="B19" s="50" t="s">
        <v>27</v>
      </c>
      <c r="C19" s="63"/>
      <c r="D19" s="51"/>
      <c r="E19" s="52" t="s">
        <v>28</v>
      </c>
      <c r="F19" s="51"/>
      <c r="G19" s="17">
        <v>2</v>
      </c>
      <c r="H19" s="17">
        <v>2</v>
      </c>
      <c r="I19" s="17">
        <v>2</v>
      </c>
      <c r="J19" s="17">
        <v>2</v>
      </c>
      <c r="K19" s="18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</row>
    <row r="20" spans="1:26" ht="17.25" customHeight="1" x14ac:dyDescent="0.35">
      <c r="A20" s="58"/>
      <c r="B20" s="57" t="s">
        <v>29</v>
      </c>
      <c r="C20" s="50" t="s">
        <v>161</v>
      </c>
      <c r="D20" s="51"/>
      <c r="E20" s="52" t="s">
        <v>26</v>
      </c>
      <c r="F20" s="51"/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8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</row>
    <row r="21" spans="1:26" ht="16.5" customHeight="1" x14ac:dyDescent="0.35">
      <c r="A21" s="58"/>
      <c r="B21" s="58"/>
      <c r="C21" s="50" t="s">
        <v>162</v>
      </c>
      <c r="D21" s="51"/>
      <c r="E21" s="52" t="s">
        <v>31</v>
      </c>
      <c r="F21" s="51"/>
      <c r="G21" s="17">
        <v>1</v>
      </c>
      <c r="H21" s="17">
        <v>1</v>
      </c>
      <c r="I21" s="17">
        <v>1</v>
      </c>
      <c r="J21" s="17">
        <v>1</v>
      </c>
      <c r="K21" s="17">
        <v>1</v>
      </c>
      <c r="L21" s="18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</row>
    <row r="22" spans="1:26" ht="16.5" customHeight="1" x14ac:dyDescent="0.35">
      <c r="A22" s="58"/>
      <c r="B22" s="58"/>
      <c r="C22" s="50" t="s">
        <v>163</v>
      </c>
      <c r="D22" s="51"/>
      <c r="E22" s="52" t="s">
        <v>26</v>
      </c>
      <c r="F22" s="51"/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8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</row>
    <row r="23" spans="1:26" ht="16.5" customHeight="1" x14ac:dyDescent="0.35">
      <c r="A23" s="58"/>
      <c r="B23" s="58"/>
      <c r="C23" s="50" t="s">
        <v>164</v>
      </c>
      <c r="D23" s="51"/>
      <c r="E23" s="52" t="s">
        <v>31</v>
      </c>
      <c r="F23" s="51"/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8">
        <v>0</v>
      </c>
      <c r="M23" s="31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</row>
    <row r="24" spans="1:26" ht="16.5" customHeight="1" x14ac:dyDescent="0.35">
      <c r="A24" s="58"/>
      <c r="B24" s="58"/>
      <c r="C24" s="50" t="s">
        <v>165</v>
      </c>
      <c r="D24" s="51"/>
      <c r="E24" s="52" t="s">
        <v>42</v>
      </c>
      <c r="F24" s="51"/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8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</row>
    <row r="25" spans="1:26" ht="16.5" customHeight="1" x14ac:dyDescent="0.35">
      <c r="A25" s="58"/>
      <c r="B25" s="58"/>
      <c r="C25" s="53" t="s">
        <v>166</v>
      </c>
      <c r="D25" s="51"/>
      <c r="E25" s="52" t="s">
        <v>34</v>
      </c>
      <c r="F25" s="51"/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8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</row>
    <row r="26" spans="1:26" ht="16.5" customHeight="1" x14ac:dyDescent="0.35">
      <c r="A26" s="58"/>
      <c r="B26" s="58"/>
      <c r="C26" s="53" t="s">
        <v>167</v>
      </c>
      <c r="D26" s="51"/>
      <c r="E26" s="52" t="s">
        <v>26</v>
      </c>
      <c r="F26" s="51"/>
      <c r="G26" s="17">
        <v>2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8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</row>
    <row r="27" spans="1:26" ht="16.5" customHeight="1" x14ac:dyDescent="0.35">
      <c r="A27" s="58"/>
      <c r="B27" s="58"/>
      <c r="C27" s="52"/>
      <c r="D27" s="95"/>
      <c r="E27" s="52"/>
      <c r="F27" s="95"/>
      <c r="G27" s="17"/>
      <c r="H27" s="17"/>
      <c r="I27" s="17"/>
      <c r="J27" s="17"/>
      <c r="K27" s="17"/>
      <c r="L27" s="17"/>
      <c r="M27" s="24">
        <v>1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6.5" customHeight="1" x14ac:dyDescent="0.35">
      <c r="A28" s="58"/>
      <c r="B28" s="58"/>
      <c r="C28" s="50" t="s">
        <v>168</v>
      </c>
      <c r="D28" s="51"/>
      <c r="E28" s="52" t="s">
        <v>24</v>
      </c>
      <c r="F28" s="51"/>
      <c r="G28" s="17">
        <v>8</v>
      </c>
      <c r="H28" s="17">
        <v>10</v>
      </c>
      <c r="I28" s="17">
        <v>10</v>
      </c>
      <c r="J28" s="17">
        <v>10</v>
      </c>
      <c r="K28" s="17">
        <v>10</v>
      </c>
      <c r="L28" s="17">
        <v>8</v>
      </c>
      <c r="M28" s="18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</row>
    <row r="29" spans="1:26" ht="16.5" customHeight="1" x14ac:dyDescent="0.35">
      <c r="A29" s="58"/>
      <c r="B29" s="59"/>
      <c r="C29" s="52"/>
      <c r="D29" s="51"/>
      <c r="E29" s="52"/>
      <c r="F29" s="51"/>
      <c r="G29" s="17"/>
      <c r="H29" s="17"/>
      <c r="I29" s="17"/>
      <c r="J29" s="17"/>
      <c r="K29" s="17"/>
      <c r="L29" s="17"/>
      <c r="M29" s="20">
        <v>2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6.5" customHeight="1" x14ac:dyDescent="0.35">
      <c r="A30" s="58"/>
      <c r="B30" s="57" t="s">
        <v>40</v>
      </c>
      <c r="C30" s="50" t="s">
        <v>169</v>
      </c>
      <c r="D30" s="51"/>
      <c r="E30" s="52" t="s">
        <v>170</v>
      </c>
      <c r="F30" s="51"/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8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</row>
    <row r="31" spans="1:26" ht="16.5" customHeight="1" x14ac:dyDescent="0.35">
      <c r="A31" s="58"/>
      <c r="B31" s="58"/>
      <c r="C31" s="50" t="s">
        <v>171</v>
      </c>
      <c r="D31" s="51"/>
      <c r="E31" s="52" t="s">
        <v>170</v>
      </c>
      <c r="F31" s="51"/>
      <c r="G31" s="17">
        <v>2</v>
      </c>
      <c r="H31" s="17">
        <v>2</v>
      </c>
      <c r="I31" s="17">
        <v>2</v>
      </c>
      <c r="J31" s="17">
        <v>2</v>
      </c>
      <c r="K31" s="17">
        <v>2</v>
      </c>
      <c r="L31" s="17">
        <v>2</v>
      </c>
      <c r="M31" s="17">
        <v>2</v>
      </c>
      <c r="N31" s="18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</row>
    <row r="32" spans="1:26" ht="16.5" customHeight="1" x14ac:dyDescent="0.35">
      <c r="A32" s="58"/>
      <c r="B32" s="58"/>
      <c r="C32" s="50" t="s">
        <v>172</v>
      </c>
      <c r="D32" s="51"/>
      <c r="E32" s="52" t="s">
        <v>31</v>
      </c>
      <c r="F32" s="51"/>
      <c r="G32" s="17">
        <v>2</v>
      </c>
      <c r="H32" s="17">
        <v>2</v>
      </c>
      <c r="I32" s="17">
        <v>2</v>
      </c>
      <c r="J32" s="17">
        <v>2</v>
      </c>
      <c r="K32" s="17">
        <v>2</v>
      </c>
      <c r="L32" s="17">
        <v>2</v>
      </c>
      <c r="M32" s="17">
        <v>2</v>
      </c>
      <c r="N32" s="18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</row>
    <row r="33" spans="1:26" ht="16.5" customHeight="1" x14ac:dyDescent="0.35">
      <c r="A33" s="58"/>
      <c r="B33" s="58"/>
      <c r="C33" s="50" t="s">
        <v>173</v>
      </c>
      <c r="D33" s="51"/>
      <c r="E33" s="52" t="s">
        <v>34</v>
      </c>
      <c r="F33" s="51"/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  <c r="O33" s="18">
        <v>0</v>
      </c>
      <c r="P33" s="31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</row>
    <row r="34" spans="1:26" ht="16.5" customHeight="1" x14ac:dyDescent="0.35">
      <c r="A34" s="58"/>
      <c r="B34" s="58"/>
      <c r="C34" s="50" t="s">
        <v>174</v>
      </c>
      <c r="D34" s="51"/>
      <c r="E34" s="52" t="s">
        <v>42</v>
      </c>
      <c r="F34" s="51"/>
      <c r="G34" s="17">
        <v>2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8">
        <v>0</v>
      </c>
      <c r="P34" s="31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</row>
    <row r="35" spans="1:26" ht="16.5" customHeight="1" x14ac:dyDescent="0.35">
      <c r="A35" s="58"/>
      <c r="B35" s="58"/>
      <c r="C35" s="50" t="s">
        <v>175</v>
      </c>
      <c r="D35" s="51"/>
      <c r="E35" s="52" t="s">
        <v>34</v>
      </c>
      <c r="F35" s="51"/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8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</row>
    <row r="36" spans="1:26" ht="16.5" customHeight="1" x14ac:dyDescent="0.35">
      <c r="A36" s="58"/>
      <c r="B36" s="58"/>
      <c r="C36" s="50" t="s">
        <v>176</v>
      </c>
      <c r="D36" s="51"/>
      <c r="E36" s="52" t="s">
        <v>31</v>
      </c>
      <c r="F36" s="51"/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8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</row>
    <row r="37" spans="1:26" ht="16.5" customHeight="1" x14ac:dyDescent="0.35">
      <c r="A37" s="58"/>
      <c r="B37" s="58"/>
      <c r="C37" s="50" t="s">
        <v>50</v>
      </c>
      <c r="D37" s="51"/>
      <c r="E37" s="52" t="s">
        <v>24</v>
      </c>
      <c r="F37" s="51"/>
      <c r="G37" s="17">
        <v>7</v>
      </c>
      <c r="H37" s="17">
        <v>10</v>
      </c>
      <c r="I37" s="17">
        <v>10</v>
      </c>
      <c r="J37" s="17">
        <v>10</v>
      </c>
      <c r="K37" s="17">
        <v>10</v>
      </c>
      <c r="L37" s="17">
        <v>10</v>
      </c>
      <c r="M37" s="17">
        <v>10</v>
      </c>
      <c r="N37" s="17">
        <v>10</v>
      </c>
      <c r="O37" s="17">
        <v>7</v>
      </c>
      <c r="P37" s="18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</row>
    <row r="38" spans="1:26" ht="16.5" customHeight="1" x14ac:dyDescent="0.35">
      <c r="A38" s="58"/>
      <c r="B38" s="59"/>
      <c r="C38" s="52"/>
      <c r="D38" s="51"/>
      <c r="E38" s="52"/>
      <c r="F38" s="51"/>
      <c r="G38" s="17"/>
      <c r="H38" s="17"/>
      <c r="I38" s="17"/>
      <c r="J38" s="17"/>
      <c r="K38" s="17"/>
      <c r="L38" s="17"/>
      <c r="M38" s="17"/>
      <c r="N38" s="17"/>
      <c r="O38" s="17"/>
      <c r="P38" s="20">
        <v>3</v>
      </c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6.5" customHeight="1" x14ac:dyDescent="0.35">
      <c r="A39" s="58"/>
      <c r="B39" s="57" t="s">
        <v>51</v>
      </c>
      <c r="C39" s="50" t="s">
        <v>177</v>
      </c>
      <c r="D39" s="51"/>
      <c r="E39" s="52" t="s">
        <v>53</v>
      </c>
      <c r="F39" s="51"/>
      <c r="G39" s="17">
        <v>3</v>
      </c>
      <c r="H39" s="17">
        <v>3</v>
      </c>
      <c r="I39" s="17">
        <v>3</v>
      </c>
      <c r="J39" s="17">
        <v>3</v>
      </c>
      <c r="K39" s="17">
        <v>3</v>
      </c>
      <c r="L39" s="17">
        <v>3</v>
      </c>
      <c r="M39" s="17">
        <v>3</v>
      </c>
      <c r="N39" s="17">
        <v>3</v>
      </c>
      <c r="O39" s="17">
        <v>3</v>
      </c>
      <c r="P39" s="17">
        <v>3</v>
      </c>
      <c r="Q39" s="18">
        <v>0</v>
      </c>
      <c r="R39" s="31">
        <v>0</v>
      </c>
      <c r="S39" s="31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</row>
    <row r="40" spans="1:26" ht="16.5" customHeight="1" x14ac:dyDescent="0.35">
      <c r="A40" s="58"/>
      <c r="B40" s="58"/>
      <c r="C40" s="50" t="s">
        <v>178</v>
      </c>
      <c r="D40" s="51"/>
      <c r="E40" s="52" t="s">
        <v>53</v>
      </c>
      <c r="F40" s="51"/>
      <c r="G40" s="17">
        <v>2</v>
      </c>
      <c r="H40" s="17">
        <v>2</v>
      </c>
      <c r="I40" s="17">
        <v>2</v>
      </c>
      <c r="J40" s="17">
        <v>2</v>
      </c>
      <c r="K40" s="17">
        <v>2</v>
      </c>
      <c r="L40" s="17">
        <v>2</v>
      </c>
      <c r="M40" s="17">
        <v>2</v>
      </c>
      <c r="N40" s="17">
        <v>2</v>
      </c>
      <c r="O40" s="17">
        <v>2</v>
      </c>
      <c r="P40" s="17">
        <v>2</v>
      </c>
      <c r="Q40" s="18">
        <v>0</v>
      </c>
      <c r="R40" s="31">
        <v>0</v>
      </c>
      <c r="S40" s="31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</row>
    <row r="41" spans="1:26" ht="16.5" customHeight="1" x14ac:dyDescent="0.35">
      <c r="A41" s="58"/>
      <c r="B41" s="58"/>
      <c r="C41" s="50" t="s">
        <v>179</v>
      </c>
      <c r="D41" s="51"/>
      <c r="E41" s="52" t="s">
        <v>53</v>
      </c>
      <c r="F41" s="51"/>
      <c r="G41" s="17">
        <v>3</v>
      </c>
      <c r="H41" s="17">
        <v>3</v>
      </c>
      <c r="I41" s="17">
        <v>3</v>
      </c>
      <c r="J41" s="17">
        <v>3</v>
      </c>
      <c r="K41" s="17">
        <v>3</v>
      </c>
      <c r="L41" s="17">
        <v>3</v>
      </c>
      <c r="M41" s="17">
        <v>3</v>
      </c>
      <c r="N41" s="17">
        <v>3</v>
      </c>
      <c r="O41" s="17">
        <v>3</v>
      </c>
      <c r="P41" s="17">
        <v>3</v>
      </c>
      <c r="Q41" s="18">
        <v>0</v>
      </c>
      <c r="R41" s="31">
        <v>0</v>
      </c>
      <c r="S41" s="31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</row>
    <row r="42" spans="1:26" ht="16.5" customHeight="1" x14ac:dyDescent="0.35">
      <c r="A42" s="58"/>
      <c r="B42" s="58"/>
      <c r="C42" s="50" t="s">
        <v>180</v>
      </c>
      <c r="D42" s="51"/>
      <c r="E42" s="52" t="s">
        <v>53</v>
      </c>
      <c r="F42" s="51"/>
      <c r="G42" s="17">
        <v>2</v>
      </c>
      <c r="H42" s="17">
        <v>2</v>
      </c>
      <c r="I42" s="17">
        <v>2</v>
      </c>
      <c r="J42" s="17">
        <v>2</v>
      </c>
      <c r="K42" s="17">
        <v>2</v>
      </c>
      <c r="L42" s="17">
        <v>2</v>
      </c>
      <c r="M42" s="17">
        <v>2</v>
      </c>
      <c r="N42" s="17">
        <v>2</v>
      </c>
      <c r="O42" s="17">
        <v>2</v>
      </c>
      <c r="P42" s="17">
        <v>2</v>
      </c>
      <c r="Q42" s="18">
        <v>0</v>
      </c>
      <c r="R42" s="31">
        <v>0</v>
      </c>
      <c r="S42" s="31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</row>
    <row r="43" spans="1:26" ht="16.5" customHeight="1" x14ac:dyDescent="0.35">
      <c r="A43" s="58"/>
      <c r="B43" s="58"/>
      <c r="C43" s="50" t="s">
        <v>181</v>
      </c>
      <c r="D43" s="51"/>
      <c r="E43" s="52" t="s">
        <v>53</v>
      </c>
      <c r="F43" s="51"/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8">
        <v>0</v>
      </c>
      <c r="S43" s="17">
        <v>0</v>
      </c>
      <c r="T43" s="31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</row>
    <row r="44" spans="1:26" ht="16.5" customHeight="1" x14ac:dyDescent="0.35">
      <c r="A44" s="58"/>
      <c r="B44" s="58"/>
      <c r="C44" s="50" t="s">
        <v>182</v>
      </c>
      <c r="D44" s="51"/>
      <c r="E44" s="52" t="s">
        <v>53</v>
      </c>
      <c r="F44" s="51"/>
      <c r="G44" s="17">
        <v>4</v>
      </c>
      <c r="H44" s="17">
        <v>4</v>
      </c>
      <c r="I44" s="17">
        <v>4</v>
      </c>
      <c r="J44" s="17">
        <v>4</v>
      </c>
      <c r="K44" s="17">
        <v>4</v>
      </c>
      <c r="L44" s="17">
        <v>4</v>
      </c>
      <c r="M44" s="17">
        <v>4</v>
      </c>
      <c r="N44" s="17">
        <v>4</v>
      </c>
      <c r="O44" s="17">
        <v>4</v>
      </c>
      <c r="P44" s="17">
        <v>4</v>
      </c>
      <c r="Q44" s="17">
        <v>4</v>
      </c>
      <c r="R44" s="18">
        <v>0</v>
      </c>
      <c r="S44" s="17">
        <v>0</v>
      </c>
      <c r="T44" s="31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</row>
    <row r="45" spans="1:26" ht="16.5" customHeight="1" x14ac:dyDescent="0.35">
      <c r="A45" s="58"/>
      <c r="B45" s="58"/>
      <c r="C45" s="50" t="s">
        <v>183</v>
      </c>
      <c r="D45" s="51"/>
      <c r="E45" s="52" t="s">
        <v>53</v>
      </c>
      <c r="F45" s="51"/>
      <c r="G45" s="17">
        <v>3</v>
      </c>
      <c r="H45" s="17">
        <v>1</v>
      </c>
      <c r="I45" s="17">
        <v>1</v>
      </c>
      <c r="J45" s="17">
        <v>1</v>
      </c>
      <c r="K45" s="17">
        <v>1</v>
      </c>
      <c r="L45" s="17">
        <v>1</v>
      </c>
      <c r="M45" s="17">
        <v>1</v>
      </c>
      <c r="N45" s="17">
        <v>1</v>
      </c>
      <c r="O45" s="17">
        <v>1</v>
      </c>
      <c r="P45" s="17">
        <v>1</v>
      </c>
      <c r="Q45" s="17">
        <v>1</v>
      </c>
      <c r="R45" s="17">
        <v>1</v>
      </c>
      <c r="S45" s="18">
        <v>0</v>
      </c>
      <c r="T45" s="31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</row>
    <row r="46" spans="1:26" ht="16.5" customHeight="1" x14ac:dyDescent="0.35">
      <c r="A46" s="58"/>
      <c r="B46" s="58"/>
      <c r="C46" s="52"/>
      <c r="D46" s="95"/>
      <c r="E46" s="52"/>
      <c r="F46" s="95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24">
        <v>2</v>
      </c>
      <c r="T46" s="31"/>
      <c r="U46" s="17"/>
      <c r="V46" s="17"/>
      <c r="W46" s="17"/>
      <c r="X46" s="17"/>
      <c r="Y46" s="17"/>
      <c r="Z46" s="17"/>
    </row>
    <row r="47" spans="1:26" ht="16.5" customHeight="1" x14ac:dyDescent="0.35">
      <c r="A47" s="58"/>
      <c r="B47" s="58"/>
      <c r="C47" s="50" t="s">
        <v>184</v>
      </c>
      <c r="D47" s="51"/>
      <c r="E47" s="52" t="s">
        <v>53</v>
      </c>
      <c r="F47" s="51"/>
      <c r="G47" s="17">
        <v>1</v>
      </c>
      <c r="H47" s="17">
        <v>1</v>
      </c>
      <c r="I47" s="17">
        <v>1</v>
      </c>
      <c r="J47" s="17">
        <v>1</v>
      </c>
      <c r="K47" s="17">
        <v>1</v>
      </c>
      <c r="L47" s="17">
        <v>1</v>
      </c>
      <c r="M47" s="17">
        <v>1</v>
      </c>
      <c r="N47" s="17">
        <v>1</v>
      </c>
      <c r="O47" s="17">
        <v>1</v>
      </c>
      <c r="P47" s="17">
        <v>1</v>
      </c>
      <c r="Q47" s="17">
        <v>1</v>
      </c>
      <c r="R47" s="17">
        <v>1</v>
      </c>
      <c r="S47" s="18">
        <v>0</v>
      </c>
      <c r="T47" s="31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</row>
    <row r="48" spans="1:26" ht="16.5" customHeight="1" x14ac:dyDescent="0.35">
      <c r="A48" s="58"/>
      <c r="B48" s="58"/>
      <c r="C48" s="50" t="s">
        <v>185</v>
      </c>
      <c r="D48" s="51"/>
      <c r="E48" s="52" t="s">
        <v>53</v>
      </c>
      <c r="F48" s="51"/>
      <c r="G48" s="17">
        <v>3</v>
      </c>
      <c r="H48" s="17">
        <v>3</v>
      </c>
      <c r="I48" s="17">
        <v>3</v>
      </c>
      <c r="J48" s="17">
        <v>3</v>
      </c>
      <c r="K48" s="17">
        <v>3</v>
      </c>
      <c r="L48" s="17">
        <v>3</v>
      </c>
      <c r="M48" s="17">
        <v>3</v>
      </c>
      <c r="N48" s="17">
        <v>3</v>
      </c>
      <c r="O48" s="17">
        <v>3</v>
      </c>
      <c r="P48" s="17">
        <v>3</v>
      </c>
      <c r="Q48" s="17">
        <v>3</v>
      </c>
      <c r="R48" s="17">
        <v>3</v>
      </c>
      <c r="S48" s="17">
        <v>3</v>
      </c>
      <c r="T48" s="18">
        <v>0</v>
      </c>
      <c r="U48" s="31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</row>
    <row r="49" spans="1:26" ht="16.5" customHeight="1" x14ac:dyDescent="0.35">
      <c r="A49" s="58"/>
      <c r="B49" s="58"/>
      <c r="C49" s="50" t="s">
        <v>186</v>
      </c>
      <c r="D49" s="51"/>
      <c r="E49" s="52" t="s">
        <v>53</v>
      </c>
      <c r="F49" s="51"/>
      <c r="G49" s="17">
        <v>2</v>
      </c>
      <c r="H49" s="17">
        <v>2</v>
      </c>
      <c r="I49" s="17">
        <v>2</v>
      </c>
      <c r="J49" s="17">
        <v>2</v>
      </c>
      <c r="K49" s="17">
        <v>2</v>
      </c>
      <c r="L49" s="17">
        <v>2</v>
      </c>
      <c r="M49" s="17">
        <v>2</v>
      </c>
      <c r="N49" s="17">
        <v>2</v>
      </c>
      <c r="O49" s="17">
        <v>2</v>
      </c>
      <c r="P49" s="17">
        <v>2</v>
      </c>
      <c r="Q49" s="17">
        <v>2</v>
      </c>
      <c r="R49" s="17">
        <v>2</v>
      </c>
      <c r="S49" s="17">
        <v>2</v>
      </c>
      <c r="T49" s="18">
        <v>0</v>
      </c>
      <c r="U49" s="31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</row>
    <row r="50" spans="1:26" ht="16.5" customHeight="1" x14ac:dyDescent="0.35">
      <c r="A50" s="58"/>
      <c r="B50" s="58"/>
      <c r="C50" s="50" t="s">
        <v>187</v>
      </c>
      <c r="D50" s="51"/>
      <c r="E50" s="52" t="s">
        <v>53</v>
      </c>
      <c r="F50" s="51"/>
      <c r="G50" s="17">
        <v>3</v>
      </c>
      <c r="H50" s="17">
        <v>3</v>
      </c>
      <c r="I50" s="17">
        <v>3</v>
      </c>
      <c r="J50" s="17">
        <v>3</v>
      </c>
      <c r="K50" s="17">
        <v>3</v>
      </c>
      <c r="L50" s="17">
        <v>3</v>
      </c>
      <c r="M50" s="17">
        <v>3</v>
      </c>
      <c r="N50" s="17">
        <v>3</v>
      </c>
      <c r="O50" s="17">
        <v>3</v>
      </c>
      <c r="P50" s="17">
        <v>3</v>
      </c>
      <c r="Q50" s="17">
        <v>3</v>
      </c>
      <c r="R50" s="17">
        <v>3</v>
      </c>
      <c r="S50" s="17">
        <v>3</v>
      </c>
      <c r="T50" s="17">
        <v>3</v>
      </c>
      <c r="U50" s="18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</row>
    <row r="51" spans="1:26" ht="16.5" customHeight="1" x14ac:dyDescent="0.35">
      <c r="A51" s="58"/>
      <c r="B51" s="58"/>
      <c r="C51" s="50" t="s">
        <v>188</v>
      </c>
      <c r="D51" s="51"/>
      <c r="E51" s="52" t="s">
        <v>53</v>
      </c>
      <c r="F51" s="51"/>
      <c r="G51" s="17">
        <v>2</v>
      </c>
      <c r="H51" s="17">
        <v>2</v>
      </c>
      <c r="I51" s="17">
        <v>2</v>
      </c>
      <c r="J51" s="17">
        <v>2</v>
      </c>
      <c r="K51" s="17">
        <v>2</v>
      </c>
      <c r="L51" s="17">
        <v>2</v>
      </c>
      <c r="M51" s="17">
        <v>2</v>
      </c>
      <c r="N51" s="17">
        <v>2</v>
      </c>
      <c r="O51" s="17">
        <v>2</v>
      </c>
      <c r="P51" s="17">
        <v>2</v>
      </c>
      <c r="Q51" s="17">
        <v>2</v>
      </c>
      <c r="R51" s="17">
        <v>2</v>
      </c>
      <c r="S51" s="17">
        <v>2</v>
      </c>
      <c r="T51" s="17">
        <v>2</v>
      </c>
      <c r="U51" s="18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</row>
    <row r="52" spans="1:26" ht="16.5" customHeight="1" x14ac:dyDescent="0.35">
      <c r="A52" s="58"/>
      <c r="B52" s="58"/>
      <c r="C52" s="50" t="s">
        <v>189</v>
      </c>
      <c r="D52" s="51"/>
      <c r="E52" s="52" t="s">
        <v>53</v>
      </c>
      <c r="F52" s="51"/>
      <c r="G52" s="17">
        <v>3</v>
      </c>
      <c r="H52" s="17">
        <v>3</v>
      </c>
      <c r="I52" s="17">
        <v>3</v>
      </c>
      <c r="J52" s="17">
        <v>3</v>
      </c>
      <c r="K52" s="17">
        <v>3</v>
      </c>
      <c r="L52" s="17">
        <v>3</v>
      </c>
      <c r="M52" s="17">
        <v>3</v>
      </c>
      <c r="N52" s="17">
        <v>3</v>
      </c>
      <c r="O52" s="17">
        <v>3</v>
      </c>
      <c r="P52" s="17">
        <v>3</v>
      </c>
      <c r="Q52" s="17">
        <v>3</v>
      </c>
      <c r="R52" s="17">
        <v>3</v>
      </c>
      <c r="S52" s="17">
        <v>3</v>
      </c>
      <c r="T52" s="17">
        <v>3</v>
      </c>
      <c r="U52" s="17">
        <v>3</v>
      </c>
      <c r="V52" s="18">
        <v>0</v>
      </c>
      <c r="W52" s="17">
        <v>0</v>
      </c>
      <c r="X52" s="17">
        <v>0</v>
      </c>
      <c r="Y52" s="17">
        <v>0</v>
      </c>
      <c r="Z52" s="17">
        <v>0</v>
      </c>
    </row>
    <row r="53" spans="1:26" ht="16.5" customHeight="1" x14ac:dyDescent="0.35">
      <c r="A53" s="58"/>
      <c r="B53" s="58"/>
      <c r="C53" s="50" t="s">
        <v>190</v>
      </c>
      <c r="D53" s="51"/>
      <c r="E53" s="52" t="s">
        <v>53</v>
      </c>
      <c r="F53" s="51"/>
      <c r="G53" s="17">
        <v>2</v>
      </c>
      <c r="H53" s="17">
        <v>2</v>
      </c>
      <c r="I53" s="17">
        <v>2</v>
      </c>
      <c r="J53" s="17">
        <v>2</v>
      </c>
      <c r="K53" s="17">
        <v>2</v>
      </c>
      <c r="L53" s="17">
        <v>2</v>
      </c>
      <c r="M53" s="17">
        <v>2</v>
      </c>
      <c r="N53" s="17">
        <v>2</v>
      </c>
      <c r="O53" s="17">
        <v>2</v>
      </c>
      <c r="P53" s="17">
        <v>2</v>
      </c>
      <c r="Q53" s="17">
        <v>2</v>
      </c>
      <c r="R53" s="17">
        <v>2</v>
      </c>
      <c r="S53" s="17">
        <v>2</v>
      </c>
      <c r="T53" s="17">
        <v>2</v>
      </c>
      <c r="U53" s="17">
        <v>2</v>
      </c>
      <c r="V53" s="18">
        <v>0</v>
      </c>
      <c r="W53" s="17">
        <v>0</v>
      </c>
      <c r="X53" s="17">
        <v>0</v>
      </c>
      <c r="Y53" s="17">
        <v>0</v>
      </c>
      <c r="Z53" s="17">
        <v>0</v>
      </c>
    </row>
    <row r="54" spans="1:26" ht="16.5" customHeight="1" x14ac:dyDescent="0.35">
      <c r="A54" s="58"/>
      <c r="B54" s="58"/>
      <c r="C54" s="50" t="s">
        <v>67</v>
      </c>
      <c r="D54" s="51"/>
      <c r="E54" s="52" t="s">
        <v>24</v>
      </c>
      <c r="F54" s="51"/>
      <c r="G54" s="17">
        <v>8</v>
      </c>
      <c r="H54" s="17">
        <v>10</v>
      </c>
      <c r="I54" s="17">
        <v>10</v>
      </c>
      <c r="J54" s="17">
        <v>10</v>
      </c>
      <c r="K54" s="17">
        <v>10</v>
      </c>
      <c r="L54" s="17">
        <v>10</v>
      </c>
      <c r="M54" s="17">
        <v>10</v>
      </c>
      <c r="N54" s="17">
        <v>10</v>
      </c>
      <c r="O54" s="17">
        <v>10</v>
      </c>
      <c r="P54" s="17">
        <v>10</v>
      </c>
      <c r="Q54" s="17">
        <v>10</v>
      </c>
      <c r="R54" s="17">
        <v>10</v>
      </c>
      <c r="S54" s="17">
        <v>10</v>
      </c>
      <c r="T54" s="17">
        <v>10</v>
      </c>
      <c r="U54" s="17">
        <v>8</v>
      </c>
      <c r="V54" s="18">
        <v>0</v>
      </c>
      <c r="W54" s="17">
        <v>0</v>
      </c>
      <c r="X54" s="17">
        <v>0</v>
      </c>
      <c r="Y54" s="17">
        <v>0</v>
      </c>
      <c r="Z54" s="17">
        <v>0</v>
      </c>
    </row>
    <row r="55" spans="1:26" ht="16.5" customHeight="1" x14ac:dyDescent="0.35">
      <c r="A55" s="58"/>
      <c r="B55" s="59"/>
      <c r="C55" s="52"/>
      <c r="D55" s="51"/>
      <c r="E55" s="52"/>
      <c r="F55" s="51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20">
        <v>2</v>
      </c>
      <c r="X55" s="17"/>
      <c r="Y55" s="17"/>
      <c r="Z55" s="17"/>
    </row>
    <row r="56" spans="1:26" ht="16.5" customHeight="1" x14ac:dyDescent="0.35">
      <c r="A56" s="58"/>
      <c r="B56" s="57" t="s">
        <v>68</v>
      </c>
      <c r="C56" s="50" t="s">
        <v>191</v>
      </c>
      <c r="D56" s="51"/>
      <c r="E56" s="52" t="s">
        <v>170</v>
      </c>
      <c r="F56" s="51"/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>
        <v>1</v>
      </c>
      <c r="P56" s="17">
        <v>1</v>
      </c>
      <c r="Q56" s="17">
        <v>1</v>
      </c>
      <c r="R56" s="17">
        <v>1</v>
      </c>
      <c r="S56" s="17">
        <v>1</v>
      </c>
      <c r="T56" s="17">
        <v>1</v>
      </c>
      <c r="U56" s="17">
        <v>1</v>
      </c>
      <c r="V56" s="17">
        <v>1</v>
      </c>
      <c r="W56" s="18">
        <v>0</v>
      </c>
      <c r="X56" s="17">
        <v>0</v>
      </c>
      <c r="Y56" s="17">
        <v>0</v>
      </c>
      <c r="Z56" s="17">
        <v>0</v>
      </c>
    </row>
    <row r="57" spans="1:26" ht="16.5" customHeight="1" x14ac:dyDescent="0.35">
      <c r="A57" s="58"/>
      <c r="B57" s="58"/>
      <c r="C57" s="50" t="s">
        <v>192</v>
      </c>
      <c r="D57" s="51"/>
      <c r="E57" s="52" t="s">
        <v>170</v>
      </c>
      <c r="F57" s="51"/>
      <c r="G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1</v>
      </c>
      <c r="M57" s="17">
        <v>1</v>
      </c>
      <c r="N57" s="17">
        <v>1</v>
      </c>
      <c r="O57" s="17">
        <v>1</v>
      </c>
      <c r="P57" s="17">
        <v>1</v>
      </c>
      <c r="Q57" s="17">
        <v>1</v>
      </c>
      <c r="R57" s="17">
        <v>1</v>
      </c>
      <c r="S57" s="17">
        <v>1</v>
      </c>
      <c r="T57" s="17">
        <v>1</v>
      </c>
      <c r="U57" s="17">
        <v>1</v>
      </c>
      <c r="V57" s="17">
        <v>1</v>
      </c>
      <c r="W57" s="18">
        <v>0</v>
      </c>
      <c r="X57" s="17">
        <v>0</v>
      </c>
      <c r="Y57" s="17">
        <v>0</v>
      </c>
      <c r="Z57" s="17">
        <v>0</v>
      </c>
    </row>
    <row r="58" spans="1:26" ht="16.5" customHeight="1" x14ac:dyDescent="0.35">
      <c r="A58" s="58"/>
      <c r="B58" s="58"/>
      <c r="C58" s="50" t="s">
        <v>193</v>
      </c>
      <c r="D58" s="51"/>
      <c r="E58" s="52" t="s">
        <v>34</v>
      </c>
      <c r="F58" s="51"/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8">
        <v>0</v>
      </c>
      <c r="X58" s="17">
        <v>0</v>
      </c>
      <c r="Y58" s="17">
        <v>0</v>
      </c>
      <c r="Z58" s="17">
        <v>0</v>
      </c>
    </row>
    <row r="59" spans="1:26" ht="16.5" customHeight="1" x14ac:dyDescent="0.35">
      <c r="A59" s="58"/>
      <c r="B59" s="58"/>
      <c r="C59" s="50" t="s">
        <v>194</v>
      </c>
      <c r="D59" s="51"/>
      <c r="E59" s="52" t="s">
        <v>34</v>
      </c>
      <c r="F59" s="51"/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8">
        <v>0</v>
      </c>
      <c r="X59" s="17">
        <v>0</v>
      </c>
      <c r="Y59" s="17">
        <v>0</v>
      </c>
      <c r="Z59" s="17">
        <v>0</v>
      </c>
    </row>
    <row r="60" spans="1:26" ht="16.5" customHeight="1" x14ac:dyDescent="0.35">
      <c r="A60" s="58"/>
      <c r="B60" s="58"/>
      <c r="C60" s="50" t="s">
        <v>195</v>
      </c>
      <c r="D60" s="51"/>
      <c r="E60" s="52" t="s">
        <v>42</v>
      </c>
      <c r="F60" s="51"/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7">
        <v>1</v>
      </c>
      <c r="U60" s="17">
        <v>1</v>
      </c>
      <c r="V60" s="17">
        <v>1</v>
      </c>
      <c r="W60" s="18">
        <v>0</v>
      </c>
      <c r="X60" s="31">
        <v>0</v>
      </c>
      <c r="Y60" s="31">
        <v>0</v>
      </c>
      <c r="Z60" s="31">
        <v>0</v>
      </c>
    </row>
    <row r="61" spans="1:26" ht="16.5" customHeight="1" x14ac:dyDescent="0.35">
      <c r="A61" s="58"/>
      <c r="B61" s="58"/>
      <c r="C61" s="50" t="s">
        <v>196</v>
      </c>
      <c r="D61" s="51"/>
      <c r="E61" s="52" t="s">
        <v>34</v>
      </c>
      <c r="F61" s="51"/>
      <c r="G61" s="17">
        <v>1</v>
      </c>
      <c r="H61" s="17">
        <v>1</v>
      </c>
      <c r="I61" s="17">
        <v>1</v>
      </c>
      <c r="J61" s="17">
        <v>1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7">
        <v>1</v>
      </c>
      <c r="V61" s="17">
        <v>1</v>
      </c>
      <c r="W61" s="18">
        <v>0</v>
      </c>
      <c r="X61" s="31">
        <v>0</v>
      </c>
      <c r="Y61" s="31">
        <v>0</v>
      </c>
      <c r="Z61" s="31">
        <v>0</v>
      </c>
    </row>
    <row r="62" spans="1:26" ht="16.5" customHeight="1" x14ac:dyDescent="0.35">
      <c r="A62" s="58"/>
      <c r="B62" s="58"/>
      <c r="C62" s="50" t="s">
        <v>197</v>
      </c>
      <c r="D62" s="51"/>
      <c r="E62" s="52" t="s">
        <v>31</v>
      </c>
      <c r="F62" s="51"/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8">
        <v>0</v>
      </c>
      <c r="X62" s="31">
        <v>0</v>
      </c>
      <c r="Y62" s="31">
        <v>0</v>
      </c>
      <c r="Z62" s="31">
        <v>0</v>
      </c>
    </row>
    <row r="63" spans="1:26" ht="16.5" customHeight="1" x14ac:dyDescent="0.35">
      <c r="A63" s="58"/>
      <c r="B63" s="57" t="s">
        <v>76</v>
      </c>
      <c r="C63" s="50" t="s">
        <v>198</v>
      </c>
      <c r="D63" s="51"/>
      <c r="E63" s="52" t="s">
        <v>219</v>
      </c>
      <c r="F63" s="51"/>
      <c r="G63" s="17">
        <v>1</v>
      </c>
      <c r="H63" s="17">
        <v>2</v>
      </c>
      <c r="I63" s="17">
        <v>2</v>
      </c>
      <c r="J63" s="17">
        <v>2</v>
      </c>
      <c r="K63" s="17">
        <v>2</v>
      </c>
      <c r="L63" s="17">
        <v>2</v>
      </c>
      <c r="M63" s="17">
        <v>2</v>
      </c>
      <c r="N63" s="17">
        <v>2</v>
      </c>
      <c r="O63" s="17">
        <v>2</v>
      </c>
      <c r="P63" s="17">
        <v>2</v>
      </c>
      <c r="Q63" s="17">
        <v>2</v>
      </c>
      <c r="R63" s="17">
        <v>2</v>
      </c>
      <c r="S63" s="17">
        <v>2</v>
      </c>
      <c r="T63" s="17">
        <v>2</v>
      </c>
      <c r="U63" s="17">
        <v>2</v>
      </c>
      <c r="V63" s="17">
        <v>2</v>
      </c>
      <c r="W63" s="17">
        <v>1</v>
      </c>
      <c r="X63" s="18">
        <v>0</v>
      </c>
      <c r="Y63" s="31">
        <v>0</v>
      </c>
      <c r="Z63" s="31">
        <v>0</v>
      </c>
    </row>
    <row r="64" spans="1:26" ht="16.5" customHeight="1" x14ac:dyDescent="0.35">
      <c r="A64" s="58"/>
      <c r="B64" s="58"/>
      <c r="C64" s="52"/>
      <c r="D64" s="95"/>
      <c r="E64" s="52"/>
      <c r="F64" s="95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32">
        <v>1</v>
      </c>
      <c r="Y64" s="31"/>
      <c r="Z64" s="31"/>
    </row>
    <row r="65" spans="1:26" ht="16.5" customHeight="1" x14ac:dyDescent="0.35">
      <c r="A65" s="58"/>
      <c r="B65" s="58"/>
      <c r="C65" s="50" t="s">
        <v>199</v>
      </c>
      <c r="D65" s="51"/>
      <c r="E65" s="52" t="s">
        <v>219</v>
      </c>
      <c r="F65" s="51"/>
      <c r="G65" s="17">
        <v>2</v>
      </c>
      <c r="H65" s="17">
        <v>2</v>
      </c>
      <c r="I65" s="17">
        <v>2</v>
      </c>
      <c r="J65" s="17">
        <v>2</v>
      </c>
      <c r="K65" s="17">
        <v>2</v>
      </c>
      <c r="L65" s="17">
        <v>2</v>
      </c>
      <c r="M65" s="17">
        <v>2</v>
      </c>
      <c r="N65" s="17">
        <v>2</v>
      </c>
      <c r="O65" s="17">
        <v>2</v>
      </c>
      <c r="P65" s="17">
        <v>2</v>
      </c>
      <c r="Q65" s="17">
        <v>2</v>
      </c>
      <c r="R65" s="17">
        <v>2</v>
      </c>
      <c r="S65" s="17">
        <v>2</v>
      </c>
      <c r="T65" s="17">
        <v>2</v>
      </c>
      <c r="U65" s="17">
        <v>2</v>
      </c>
      <c r="V65" s="17">
        <v>2</v>
      </c>
      <c r="W65" s="17">
        <v>2</v>
      </c>
      <c r="X65" s="18">
        <v>0</v>
      </c>
      <c r="Y65" s="31">
        <v>0</v>
      </c>
      <c r="Z65" s="31">
        <v>0</v>
      </c>
    </row>
    <row r="66" spans="1:26" ht="16.5" customHeight="1" x14ac:dyDescent="0.35">
      <c r="A66" s="58"/>
      <c r="B66" s="58"/>
      <c r="C66" s="50" t="s">
        <v>200</v>
      </c>
      <c r="D66" s="51"/>
      <c r="E66" s="52" t="s">
        <v>219</v>
      </c>
      <c r="F66" s="51"/>
      <c r="G66" s="17">
        <v>2</v>
      </c>
      <c r="H66" s="17">
        <v>2</v>
      </c>
      <c r="I66" s="17">
        <v>2</v>
      </c>
      <c r="J66" s="17">
        <v>2</v>
      </c>
      <c r="K66" s="17">
        <v>2</v>
      </c>
      <c r="L66" s="17">
        <v>2</v>
      </c>
      <c r="M66" s="17">
        <v>2</v>
      </c>
      <c r="N66" s="17">
        <v>2</v>
      </c>
      <c r="O66" s="17">
        <v>2</v>
      </c>
      <c r="P66" s="17">
        <v>2</v>
      </c>
      <c r="Q66" s="17">
        <v>2</v>
      </c>
      <c r="R66" s="17">
        <v>2</v>
      </c>
      <c r="S66" s="17">
        <v>2</v>
      </c>
      <c r="T66" s="17">
        <v>2</v>
      </c>
      <c r="U66" s="17">
        <v>2</v>
      </c>
      <c r="V66" s="17">
        <v>2</v>
      </c>
      <c r="W66" s="17">
        <v>2</v>
      </c>
      <c r="X66" s="18">
        <v>0</v>
      </c>
      <c r="Y66" s="31">
        <v>0</v>
      </c>
      <c r="Z66" s="31">
        <v>0</v>
      </c>
    </row>
    <row r="67" spans="1:26" ht="16.5" customHeight="1" x14ac:dyDescent="0.35">
      <c r="A67" s="58"/>
      <c r="B67" s="58"/>
      <c r="C67" s="50" t="s">
        <v>201</v>
      </c>
      <c r="D67" s="51"/>
      <c r="E67" s="52" t="s">
        <v>220</v>
      </c>
      <c r="F67" s="51"/>
      <c r="G67" s="17">
        <v>4</v>
      </c>
      <c r="H67" s="17">
        <v>2</v>
      </c>
      <c r="I67" s="17">
        <v>2</v>
      </c>
      <c r="J67" s="17">
        <v>2</v>
      </c>
      <c r="K67" s="17">
        <v>2</v>
      </c>
      <c r="L67" s="17">
        <v>2</v>
      </c>
      <c r="M67" s="17">
        <v>2</v>
      </c>
      <c r="N67" s="17">
        <v>2</v>
      </c>
      <c r="O67" s="17">
        <v>2</v>
      </c>
      <c r="P67" s="17">
        <v>2</v>
      </c>
      <c r="Q67" s="17">
        <v>2</v>
      </c>
      <c r="R67" s="17">
        <v>2</v>
      </c>
      <c r="S67" s="17">
        <v>2</v>
      </c>
      <c r="T67" s="17">
        <v>2</v>
      </c>
      <c r="U67" s="17">
        <v>2</v>
      </c>
      <c r="V67" s="17">
        <v>2</v>
      </c>
      <c r="W67" s="17">
        <v>2</v>
      </c>
      <c r="X67" s="18">
        <v>0</v>
      </c>
      <c r="Y67" s="31">
        <v>0</v>
      </c>
      <c r="Z67" s="31">
        <v>0</v>
      </c>
    </row>
    <row r="68" spans="1:26" ht="16.5" customHeight="1" x14ac:dyDescent="0.35">
      <c r="A68" s="58"/>
      <c r="B68" s="58"/>
      <c r="C68" s="52"/>
      <c r="D68" s="95"/>
      <c r="E68" s="52"/>
      <c r="F68" s="95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24">
        <v>2</v>
      </c>
      <c r="Y68" s="31"/>
      <c r="Z68" s="31"/>
    </row>
    <row r="69" spans="1:26" ht="16.5" customHeight="1" x14ac:dyDescent="0.35">
      <c r="A69" s="58"/>
      <c r="B69" s="58"/>
      <c r="C69" s="53" t="s">
        <v>202</v>
      </c>
      <c r="D69" s="51"/>
      <c r="E69" s="52" t="s">
        <v>220</v>
      </c>
      <c r="F69" s="51"/>
      <c r="G69" s="17">
        <v>2</v>
      </c>
      <c r="H69" s="17">
        <v>2</v>
      </c>
      <c r="I69" s="17">
        <v>2</v>
      </c>
      <c r="J69" s="17">
        <v>2</v>
      </c>
      <c r="K69" s="17">
        <v>2</v>
      </c>
      <c r="L69" s="17">
        <v>2</v>
      </c>
      <c r="M69" s="17">
        <v>2</v>
      </c>
      <c r="N69" s="17">
        <v>2</v>
      </c>
      <c r="O69" s="17">
        <v>2</v>
      </c>
      <c r="P69" s="17">
        <v>2</v>
      </c>
      <c r="Q69" s="17">
        <v>2</v>
      </c>
      <c r="R69" s="17">
        <v>2</v>
      </c>
      <c r="S69" s="17">
        <v>2</v>
      </c>
      <c r="T69" s="17">
        <v>2</v>
      </c>
      <c r="U69" s="17">
        <v>2</v>
      </c>
      <c r="V69" s="17">
        <v>2</v>
      </c>
      <c r="W69" s="17">
        <v>2</v>
      </c>
      <c r="X69" s="18">
        <v>0</v>
      </c>
      <c r="Y69" s="31">
        <v>0</v>
      </c>
      <c r="Z69" s="31">
        <v>0</v>
      </c>
    </row>
    <row r="70" spans="1:26" ht="16.5" customHeight="1" x14ac:dyDescent="0.35">
      <c r="A70" s="58"/>
      <c r="B70" s="58"/>
      <c r="C70" s="53" t="s">
        <v>203</v>
      </c>
      <c r="D70" s="51"/>
      <c r="E70" s="52" t="s">
        <v>220</v>
      </c>
      <c r="F70" s="51"/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8">
        <v>0</v>
      </c>
      <c r="Y70" s="31">
        <v>0</v>
      </c>
      <c r="Z70" s="31">
        <v>0</v>
      </c>
    </row>
    <row r="71" spans="1:26" ht="16.5" customHeight="1" x14ac:dyDescent="0.35">
      <c r="A71" s="58"/>
      <c r="B71" s="59"/>
      <c r="C71" s="53" t="s">
        <v>204</v>
      </c>
      <c r="D71" s="51"/>
      <c r="E71" s="52" t="s">
        <v>220</v>
      </c>
      <c r="F71" s="51"/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8">
        <v>0</v>
      </c>
      <c r="Y71" s="31">
        <v>0</v>
      </c>
      <c r="Z71" s="31">
        <v>0</v>
      </c>
    </row>
    <row r="72" spans="1:26" ht="16.5" customHeight="1" x14ac:dyDescent="0.35">
      <c r="A72" s="58"/>
      <c r="B72" s="57" t="s">
        <v>85</v>
      </c>
      <c r="C72" s="50" t="s">
        <v>205</v>
      </c>
      <c r="D72" s="51"/>
      <c r="E72" s="52" t="s">
        <v>31</v>
      </c>
      <c r="F72" s="51"/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8">
        <v>0</v>
      </c>
      <c r="Z72" s="17">
        <v>0</v>
      </c>
    </row>
    <row r="73" spans="1:26" ht="16.5" customHeight="1" x14ac:dyDescent="0.35">
      <c r="A73" s="58"/>
      <c r="B73" s="58"/>
      <c r="C73" s="50" t="s">
        <v>206</v>
      </c>
      <c r="D73" s="51"/>
      <c r="E73" s="52" t="s">
        <v>170</v>
      </c>
      <c r="F73" s="51"/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8">
        <v>0</v>
      </c>
      <c r="Z73" s="17">
        <v>0</v>
      </c>
    </row>
    <row r="74" spans="1:26" ht="16.5" customHeight="1" x14ac:dyDescent="0.35">
      <c r="A74" s="58"/>
      <c r="B74" s="58"/>
      <c r="C74" s="50" t="s">
        <v>207</v>
      </c>
      <c r="D74" s="51"/>
      <c r="E74" s="52" t="s">
        <v>34</v>
      </c>
      <c r="F74" s="51"/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8">
        <v>0</v>
      </c>
      <c r="Z74" s="17">
        <v>0</v>
      </c>
    </row>
    <row r="75" spans="1:26" ht="16.5" customHeight="1" x14ac:dyDescent="0.35">
      <c r="A75" s="58"/>
      <c r="B75" s="58"/>
      <c r="C75" s="50" t="s">
        <v>208</v>
      </c>
      <c r="D75" s="51"/>
      <c r="E75" s="52" t="s">
        <v>34</v>
      </c>
      <c r="F75" s="51"/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8">
        <v>0</v>
      </c>
      <c r="Z75" s="17">
        <v>0</v>
      </c>
    </row>
    <row r="76" spans="1:26" ht="16.5" customHeight="1" x14ac:dyDescent="0.35">
      <c r="A76" s="58"/>
      <c r="B76" s="58"/>
      <c r="C76" s="53" t="s">
        <v>209</v>
      </c>
      <c r="D76" s="51"/>
      <c r="E76" s="52" t="s">
        <v>42</v>
      </c>
      <c r="F76" s="51"/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1</v>
      </c>
      <c r="W76" s="17">
        <v>1</v>
      </c>
      <c r="X76" s="17">
        <v>1</v>
      </c>
      <c r="Y76" s="18">
        <v>0</v>
      </c>
      <c r="Z76" s="17">
        <v>0</v>
      </c>
    </row>
    <row r="77" spans="1:26" ht="16.5" customHeight="1" x14ac:dyDescent="0.35">
      <c r="A77" s="58"/>
      <c r="B77" s="58"/>
      <c r="C77" s="53" t="s">
        <v>210</v>
      </c>
      <c r="D77" s="51"/>
      <c r="E77" s="52" t="s">
        <v>34</v>
      </c>
      <c r="F77" s="51"/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8">
        <v>0</v>
      </c>
      <c r="Z77" s="17">
        <v>0</v>
      </c>
    </row>
    <row r="78" spans="1:26" ht="16.5" customHeight="1" x14ac:dyDescent="0.35">
      <c r="A78" s="58"/>
      <c r="B78" s="59"/>
      <c r="C78" s="53" t="s">
        <v>211</v>
      </c>
      <c r="D78" s="51"/>
      <c r="E78" s="52" t="s">
        <v>31</v>
      </c>
      <c r="F78" s="51"/>
      <c r="G78" s="17">
        <v>2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8">
        <v>0</v>
      </c>
      <c r="Z78" s="17">
        <v>0</v>
      </c>
    </row>
    <row r="79" spans="1:26" ht="16.5" customHeight="1" x14ac:dyDescent="0.35">
      <c r="A79" s="58"/>
      <c r="B79" s="19"/>
      <c r="C79" s="52"/>
      <c r="D79" s="95"/>
      <c r="E79" s="52"/>
      <c r="F79" s="95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24">
        <v>1</v>
      </c>
      <c r="Z79" s="17"/>
    </row>
    <row r="80" spans="1:26" ht="16.5" customHeight="1" x14ac:dyDescent="0.35">
      <c r="A80" s="58"/>
      <c r="B80" s="57" t="s">
        <v>150</v>
      </c>
      <c r="C80" s="50" t="s">
        <v>212</v>
      </c>
      <c r="D80" s="51"/>
      <c r="E80" s="52" t="s">
        <v>24</v>
      </c>
      <c r="F80" s="51"/>
      <c r="G80" s="17">
        <v>5</v>
      </c>
      <c r="H80" s="17">
        <v>5</v>
      </c>
      <c r="I80" s="17">
        <v>5</v>
      </c>
      <c r="J80" s="17">
        <v>5</v>
      </c>
      <c r="K80" s="17">
        <v>5</v>
      </c>
      <c r="L80" s="17">
        <v>5</v>
      </c>
      <c r="M80" s="17">
        <v>5</v>
      </c>
      <c r="N80" s="17">
        <v>5</v>
      </c>
      <c r="O80" s="17">
        <v>5</v>
      </c>
      <c r="P80" s="17">
        <v>5</v>
      </c>
      <c r="Q80" s="17">
        <v>5</v>
      </c>
      <c r="R80" s="17">
        <v>5</v>
      </c>
      <c r="S80" s="17">
        <v>5</v>
      </c>
      <c r="T80" s="17">
        <v>5</v>
      </c>
      <c r="U80" s="17">
        <v>5</v>
      </c>
      <c r="V80" s="17">
        <v>5</v>
      </c>
      <c r="W80" s="17">
        <v>5</v>
      </c>
      <c r="X80" s="17">
        <v>5</v>
      </c>
      <c r="Y80" s="17">
        <v>5</v>
      </c>
      <c r="Z80" s="18">
        <v>0</v>
      </c>
    </row>
    <row r="81" spans="1:26" ht="16.5" customHeight="1" x14ac:dyDescent="0.35">
      <c r="A81" s="58"/>
      <c r="B81" s="59"/>
      <c r="C81" s="50" t="s">
        <v>213</v>
      </c>
      <c r="D81" s="51"/>
      <c r="E81" s="52" t="s">
        <v>24</v>
      </c>
      <c r="F81" s="51"/>
      <c r="G81" s="17">
        <v>5</v>
      </c>
      <c r="H81" s="17">
        <v>5</v>
      </c>
      <c r="I81" s="17">
        <v>5</v>
      </c>
      <c r="J81" s="17">
        <v>5</v>
      </c>
      <c r="K81" s="17">
        <v>5</v>
      </c>
      <c r="L81" s="17">
        <v>5</v>
      </c>
      <c r="M81" s="17">
        <v>5</v>
      </c>
      <c r="N81" s="17">
        <v>5</v>
      </c>
      <c r="O81" s="17">
        <v>5</v>
      </c>
      <c r="P81" s="17">
        <v>5</v>
      </c>
      <c r="Q81" s="17">
        <v>5</v>
      </c>
      <c r="R81" s="17">
        <v>5</v>
      </c>
      <c r="S81" s="17">
        <v>5</v>
      </c>
      <c r="T81" s="17">
        <v>5</v>
      </c>
      <c r="U81" s="17">
        <v>5</v>
      </c>
      <c r="V81" s="17">
        <v>5</v>
      </c>
      <c r="W81" s="17">
        <v>5</v>
      </c>
      <c r="X81" s="17">
        <v>5</v>
      </c>
      <c r="Y81" s="17">
        <v>5</v>
      </c>
      <c r="Z81" s="18">
        <v>0</v>
      </c>
    </row>
    <row r="82" spans="1:26" ht="16.5" customHeight="1" x14ac:dyDescent="0.35">
      <c r="A82" s="58"/>
      <c r="B82" s="64" t="s">
        <v>18</v>
      </c>
      <c r="C82" s="65"/>
      <c r="D82" s="66"/>
      <c r="E82" s="54" t="s">
        <v>11</v>
      </c>
      <c r="F82" s="51"/>
      <c r="G82" s="52">
        <f>SUM(G16:G81)</f>
        <v>128</v>
      </c>
      <c r="H82" s="51"/>
      <c r="I82" s="17">
        <f>SUM(I16:I81)</f>
        <v>130</v>
      </c>
      <c r="J82" s="17">
        <f>SUM(J16:J81)</f>
        <v>119</v>
      </c>
      <c r="K82" s="17">
        <f>SUM(K16:K81)-1</f>
        <v>116</v>
      </c>
      <c r="L82" s="17">
        <f>SUM(L16:L81)</f>
        <v>110</v>
      </c>
      <c r="M82" s="17">
        <f>SUM(M16:M81)-1</f>
        <v>101</v>
      </c>
      <c r="N82" s="17">
        <f>SUM(N16:N81)-M29</f>
        <v>92</v>
      </c>
      <c r="O82" s="17">
        <f>SUM(O16:O81)</f>
        <v>89</v>
      </c>
      <c r="P82" s="17">
        <f>SUM(P16:P81)-3</f>
        <v>80</v>
      </c>
      <c r="Q82" s="17">
        <f>SUM(Q16:Q81)-P38</f>
        <v>67</v>
      </c>
      <c r="R82" s="17">
        <f>SUM(R16:R81)</f>
        <v>65</v>
      </c>
      <c r="S82" s="17">
        <f>SUM(S16:S81)+2</f>
        <v>67</v>
      </c>
      <c r="T82" s="17">
        <f>SUM(T16:T81)</f>
        <v>58</v>
      </c>
      <c r="U82" s="17">
        <f>SUM(U16:U81)</f>
        <v>51</v>
      </c>
      <c r="V82" s="17">
        <f>SUM(V16:V81)-2</f>
        <v>38</v>
      </c>
      <c r="W82" s="17">
        <f>SUM(W16:W81)-V55</f>
        <v>28</v>
      </c>
      <c r="X82" s="17">
        <f>SUM(X16:X81)+1</f>
        <v>21</v>
      </c>
      <c r="Y82" s="17">
        <f>SUM(Y16:Y81)</f>
        <v>11</v>
      </c>
      <c r="Z82" s="17">
        <f>SUM(Z16:Z81)</f>
        <v>0</v>
      </c>
    </row>
    <row r="83" spans="1:26" ht="16.5" customHeight="1" x14ac:dyDescent="0.35">
      <c r="A83" s="59"/>
      <c r="B83" s="67"/>
      <c r="C83" s="68"/>
      <c r="D83" s="69"/>
      <c r="E83" s="54" t="s">
        <v>12</v>
      </c>
      <c r="F83" s="51"/>
      <c r="G83" s="52">
        <f>SUM(H16:H81)</f>
        <v>130</v>
      </c>
      <c r="H83" s="51"/>
      <c r="I83" s="17">
        <f>SUM(I16:I81)</f>
        <v>130</v>
      </c>
      <c r="J83" s="17">
        <f>SUM(J16:J81)</f>
        <v>119</v>
      </c>
      <c r="K83" s="17">
        <f>SUM(K16:K81)</f>
        <v>117</v>
      </c>
      <c r="L83" s="17">
        <f>SUM(L16:L81)</f>
        <v>110</v>
      </c>
      <c r="M83" s="17">
        <f>SUM(M16:M81)</f>
        <v>102</v>
      </c>
      <c r="N83" s="17">
        <f>SUM(N16:N81)-M29</f>
        <v>92</v>
      </c>
      <c r="O83" s="17">
        <f>SUM(O16:O81)</f>
        <v>89</v>
      </c>
      <c r="P83" s="17">
        <f>SUM(P16:P81)</f>
        <v>83</v>
      </c>
      <c r="Q83" s="17">
        <f>SUM(Q16:Q81)-P38</f>
        <v>67</v>
      </c>
      <c r="R83" s="17">
        <f>SUM(R16:R81)</f>
        <v>65</v>
      </c>
      <c r="S83" s="17">
        <f>SUM(S16:S81)</f>
        <v>65</v>
      </c>
      <c r="T83" s="17">
        <f t="shared" ref="T83:U83" si="1">SUM(T16:T81)</f>
        <v>58</v>
      </c>
      <c r="U83" s="17">
        <f t="shared" si="1"/>
        <v>51</v>
      </c>
      <c r="V83" s="17">
        <f>SUM(V16:V81)</f>
        <v>40</v>
      </c>
      <c r="W83" s="17">
        <f>SUM(W16:W81)-V55</f>
        <v>28</v>
      </c>
      <c r="X83" s="17">
        <f>SUM(X16:X81)</f>
        <v>20</v>
      </c>
      <c r="Y83" s="17">
        <f>Y82-1</f>
        <v>10</v>
      </c>
      <c r="Z83" s="17">
        <v>0</v>
      </c>
    </row>
    <row r="84" spans="1:26" ht="16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153">
    <mergeCell ref="G82:H82"/>
    <mergeCell ref="G83:H83"/>
    <mergeCell ref="E77:F77"/>
    <mergeCell ref="E78:F78"/>
    <mergeCell ref="E60:F60"/>
    <mergeCell ref="E61:F61"/>
    <mergeCell ref="C62:D62"/>
    <mergeCell ref="E62:F62"/>
    <mergeCell ref="E71:F71"/>
    <mergeCell ref="E72:F72"/>
    <mergeCell ref="E73:F73"/>
    <mergeCell ref="E74:F74"/>
    <mergeCell ref="E75:F75"/>
    <mergeCell ref="E76:F76"/>
    <mergeCell ref="C79:D79"/>
    <mergeCell ref="E79:F79"/>
    <mergeCell ref="C68:D68"/>
    <mergeCell ref="E68:F68"/>
    <mergeCell ref="C64:D64"/>
    <mergeCell ref="E64:F64"/>
    <mergeCell ref="E57:F57"/>
    <mergeCell ref="C58:D58"/>
    <mergeCell ref="E58:F58"/>
    <mergeCell ref="E59:F59"/>
    <mergeCell ref="C65:D65"/>
    <mergeCell ref="C66:D66"/>
    <mergeCell ref="C67:D67"/>
    <mergeCell ref="C63:D63"/>
    <mergeCell ref="E63:F63"/>
    <mergeCell ref="E65:F65"/>
    <mergeCell ref="E66:F66"/>
    <mergeCell ref="E67:F67"/>
    <mergeCell ref="E80:F80"/>
    <mergeCell ref="C81:D81"/>
    <mergeCell ref="E81:F81"/>
    <mergeCell ref="B82:D83"/>
    <mergeCell ref="E82:F82"/>
    <mergeCell ref="E83:F83"/>
    <mergeCell ref="C59:D59"/>
    <mergeCell ref="C60:D60"/>
    <mergeCell ref="C61:D61"/>
    <mergeCell ref="C70:D70"/>
    <mergeCell ref="C71:D71"/>
    <mergeCell ref="C69:D69"/>
    <mergeCell ref="E69:F69"/>
    <mergeCell ref="E70:F70"/>
    <mergeCell ref="C80:D80"/>
    <mergeCell ref="B30:B38"/>
    <mergeCell ref="B56:B62"/>
    <mergeCell ref="B39:B55"/>
    <mergeCell ref="B20:B29"/>
    <mergeCell ref="B63:B71"/>
    <mergeCell ref="A16:A83"/>
    <mergeCell ref="B72:B78"/>
    <mergeCell ref="C73:D73"/>
    <mergeCell ref="C74:D74"/>
    <mergeCell ref="C75:D75"/>
    <mergeCell ref="C72:D72"/>
    <mergeCell ref="C77:D77"/>
    <mergeCell ref="C78:D78"/>
    <mergeCell ref="C76:D76"/>
    <mergeCell ref="B80:B81"/>
    <mergeCell ref="C57:D57"/>
    <mergeCell ref="C46:D46"/>
    <mergeCell ref="C27:D27"/>
    <mergeCell ref="C22:D22"/>
    <mergeCell ref="E22:F22"/>
    <mergeCell ref="C23:D23"/>
    <mergeCell ref="E23:F23"/>
    <mergeCell ref="C24:D24"/>
    <mergeCell ref="E24:F24"/>
    <mergeCell ref="E25:F25"/>
    <mergeCell ref="C25:D25"/>
    <mergeCell ref="C26:D26"/>
    <mergeCell ref="B17:D17"/>
    <mergeCell ref="E17:F17"/>
    <mergeCell ref="B18:D18"/>
    <mergeCell ref="E18:F18"/>
    <mergeCell ref="E19:F19"/>
    <mergeCell ref="B19:D19"/>
    <mergeCell ref="C20:D20"/>
    <mergeCell ref="E20:F20"/>
    <mergeCell ref="C21:D21"/>
    <mergeCell ref="E21:F21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A4:B4"/>
    <mergeCell ref="C56:D56"/>
    <mergeCell ref="E54:F54"/>
    <mergeCell ref="C53:D53"/>
    <mergeCell ref="E53:F53"/>
    <mergeCell ref="C29:D29"/>
    <mergeCell ref="C30:D30"/>
    <mergeCell ref="C31:D31"/>
    <mergeCell ref="C32:D32"/>
    <mergeCell ref="E32:F32"/>
    <mergeCell ref="C33:D33"/>
    <mergeCell ref="E33:F33"/>
    <mergeCell ref="C37:D37"/>
    <mergeCell ref="E37:F37"/>
    <mergeCell ref="C38:D38"/>
    <mergeCell ref="E38:F38"/>
    <mergeCell ref="E55:F55"/>
    <mergeCell ref="E56:F56"/>
    <mergeCell ref="E46:F46"/>
    <mergeCell ref="C52:D52"/>
    <mergeCell ref="C49:D49"/>
    <mergeCell ref="C50:D50"/>
    <mergeCell ref="E49:F49"/>
    <mergeCell ref="E50:F50"/>
    <mergeCell ref="E51:F51"/>
    <mergeCell ref="E52:F52"/>
    <mergeCell ref="C54:D54"/>
    <mergeCell ref="C55:D55"/>
    <mergeCell ref="C47:D47"/>
    <mergeCell ref="C48:D48"/>
    <mergeCell ref="C44:D44"/>
    <mergeCell ref="C45:D45"/>
    <mergeCell ref="E44:F44"/>
    <mergeCell ref="E45:F45"/>
    <mergeCell ref="E47:F47"/>
    <mergeCell ref="E48:F48"/>
    <mergeCell ref="C51:D51"/>
    <mergeCell ref="C42:D42"/>
    <mergeCell ref="C43:D43"/>
    <mergeCell ref="C39:D39"/>
    <mergeCell ref="E39:F39"/>
    <mergeCell ref="C40:D40"/>
    <mergeCell ref="C41:D41"/>
    <mergeCell ref="E40:F40"/>
    <mergeCell ref="E41:F41"/>
    <mergeCell ref="E42:F42"/>
    <mergeCell ref="E43:F43"/>
    <mergeCell ref="E30:F30"/>
    <mergeCell ref="E31:F31"/>
    <mergeCell ref="E26:F26"/>
    <mergeCell ref="E28:F28"/>
    <mergeCell ref="E29:F29"/>
    <mergeCell ref="C35:D35"/>
    <mergeCell ref="C36:D36"/>
    <mergeCell ref="C34:D34"/>
    <mergeCell ref="E34:F34"/>
    <mergeCell ref="E35:F35"/>
    <mergeCell ref="E36:F36"/>
    <mergeCell ref="C28:D28"/>
    <mergeCell ref="E27:F27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abSelected="1" workbookViewId="0">
      <selection activeCell="F23" sqref="F23"/>
    </sheetView>
  </sheetViews>
  <sheetFormatPr defaultColWidth="14.453125" defaultRowHeight="15" customHeight="1" x14ac:dyDescent="0.35"/>
  <cols>
    <col min="1" max="1" width="8.7265625" customWidth="1"/>
    <col min="2" max="11" width="10" customWidth="1"/>
    <col min="12" max="26" width="8.7265625" customWidth="1"/>
  </cols>
  <sheetData>
    <row r="1" spans="1:11" ht="14.25" customHeight="1" x14ac:dyDescent="0.35">
      <c r="A1" s="78" t="s">
        <v>214</v>
      </c>
      <c r="B1" s="79"/>
      <c r="C1" s="79"/>
      <c r="D1" s="79"/>
      <c r="E1" s="79"/>
      <c r="F1" s="79"/>
      <c r="G1" s="79"/>
      <c r="H1" s="79"/>
      <c r="I1" s="79"/>
      <c r="J1" s="79"/>
      <c r="K1" s="80"/>
    </row>
    <row r="2" spans="1:11" ht="14.25" customHeight="1" x14ac:dyDescent="0.35">
      <c r="A2" s="81"/>
      <c r="B2" s="83" t="s">
        <v>53</v>
      </c>
      <c r="C2" s="51"/>
      <c r="D2" s="83" t="s">
        <v>34</v>
      </c>
      <c r="E2" s="51"/>
      <c r="F2" s="83" t="s">
        <v>26</v>
      </c>
      <c r="G2" s="51"/>
      <c r="H2" s="83" t="s">
        <v>31</v>
      </c>
      <c r="I2" s="51"/>
      <c r="J2" s="83" t="s">
        <v>42</v>
      </c>
      <c r="K2" s="71"/>
    </row>
    <row r="3" spans="1:11" ht="14.25" customHeight="1" x14ac:dyDescent="0.35">
      <c r="A3" s="82"/>
      <c r="B3" s="40" t="s">
        <v>11</v>
      </c>
      <c r="C3" s="40" t="s">
        <v>12</v>
      </c>
      <c r="D3" s="40" t="s">
        <v>11</v>
      </c>
      <c r="E3" s="40" t="s">
        <v>12</v>
      </c>
      <c r="F3" s="40" t="s">
        <v>11</v>
      </c>
      <c r="G3" s="40" t="s">
        <v>12</v>
      </c>
      <c r="H3" s="40" t="s">
        <v>11</v>
      </c>
      <c r="I3" s="40" t="s">
        <v>12</v>
      </c>
      <c r="J3" s="40" t="s">
        <v>11</v>
      </c>
      <c r="K3" s="41" t="s">
        <v>12</v>
      </c>
    </row>
    <row r="4" spans="1:11" ht="14.25" customHeight="1" x14ac:dyDescent="0.35">
      <c r="A4" s="42" t="s">
        <v>3</v>
      </c>
      <c r="B4" s="43">
        <f ca="1">'Sprint 1'!$D$8</f>
        <v>44.8</v>
      </c>
      <c r="C4" s="43">
        <f ca="1">'Sprint 1'!$E$8</f>
        <v>44</v>
      </c>
      <c r="D4" s="43">
        <f ca="1">'Sprint 1'!$D$9</f>
        <v>18.8</v>
      </c>
      <c r="E4" s="43">
        <f ca="1">'Sprint 1'!$E$9</f>
        <v>20.5</v>
      </c>
      <c r="F4" s="43">
        <f ca="1">'Sprint 1'!$D$10</f>
        <v>21.8</v>
      </c>
      <c r="G4" s="43">
        <f ca="1">'Sprint 1'!$E$10</f>
        <v>24.5</v>
      </c>
      <c r="H4" s="43">
        <f ca="1">'Sprint 1'!$D$11</f>
        <v>23.8</v>
      </c>
      <c r="I4" s="43">
        <f ca="1">'Sprint 1'!$E$11</f>
        <v>26.5</v>
      </c>
      <c r="J4" s="43">
        <f ca="1">'Sprint 1'!$D$12</f>
        <v>16.8</v>
      </c>
      <c r="K4" s="43">
        <f ca="1">'Sprint 1'!$E$12</f>
        <v>18.5</v>
      </c>
    </row>
    <row r="5" spans="1:11" ht="14.25" customHeight="1" x14ac:dyDescent="0.35">
      <c r="A5" s="42" t="s">
        <v>96</v>
      </c>
      <c r="B5" s="43">
        <f>'Sprint 2'!D8</f>
        <v>39.799999999999997</v>
      </c>
      <c r="C5" s="43">
        <f>'Sprint 2'!$E$8</f>
        <v>39</v>
      </c>
      <c r="D5" s="43">
        <f>'Sprint 2'!D9</f>
        <v>21.8</v>
      </c>
      <c r="E5" s="43">
        <f>'Sprint 2'!$E$9</f>
        <v>21</v>
      </c>
      <c r="F5" s="43">
        <f>'Sprint 2'!D10</f>
        <v>22.8</v>
      </c>
      <c r="G5" s="43">
        <f>'Sprint 2'!$E$10</f>
        <v>21</v>
      </c>
      <c r="H5" s="43">
        <f>'Sprint 2'!D11</f>
        <v>12.8</v>
      </c>
      <c r="I5" s="43">
        <f>'Sprint 2'!$E$11</f>
        <v>14</v>
      </c>
      <c r="J5" s="43">
        <f>'Sprint 2'!D12</f>
        <v>18.8</v>
      </c>
      <c r="K5" s="43">
        <f>'Sprint 2'!$E$12</f>
        <v>20</v>
      </c>
    </row>
    <row r="6" spans="1:11" ht="14.25" customHeight="1" x14ac:dyDescent="0.35">
      <c r="A6" s="42" t="s">
        <v>154</v>
      </c>
      <c r="B6" s="43">
        <f>'Sprint 3'!$D$8</f>
        <v>48.1</v>
      </c>
      <c r="C6" s="43">
        <f>'Sprint 3'!$E$8</f>
        <v>47</v>
      </c>
      <c r="D6" s="43">
        <f>'Sprint 3'!$D$9</f>
        <v>16.100000000000001</v>
      </c>
      <c r="E6" s="43">
        <f>'Sprint 3'!$E$9</f>
        <v>17.5</v>
      </c>
      <c r="F6" s="43">
        <f>'Sprint 3'!$D$10</f>
        <v>16.100000000000001</v>
      </c>
      <c r="G6" s="43">
        <f>'Sprint 3'!$E$10</f>
        <v>15.5</v>
      </c>
      <c r="H6" s="43">
        <f>'Sprint 3'!$D$11</f>
        <v>16.100000000000001</v>
      </c>
      <c r="I6" s="43">
        <f>'Sprint 3'!$E$11</f>
        <v>16.5</v>
      </c>
      <c r="J6" s="43">
        <f>'Sprint 3'!$D$12</f>
        <v>15.6</v>
      </c>
      <c r="K6" s="43">
        <f>'Sprint 3'!$E$12</f>
        <v>17.5</v>
      </c>
    </row>
    <row r="7" spans="1:11" ht="14.25" customHeight="1" x14ac:dyDescent="0.35">
      <c r="A7" s="44" t="s">
        <v>18</v>
      </c>
      <c r="B7" s="45">
        <f t="shared" ref="B7:K7" ca="1" si="0">SUM(B4:B6)</f>
        <v>132.69999999999999</v>
      </c>
      <c r="C7" s="45">
        <f t="shared" ca="1" si="0"/>
        <v>130</v>
      </c>
      <c r="D7" s="45">
        <f t="shared" ca="1" si="0"/>
        <v>56.7</v>
      </c>
      <c r="E7" s="45">
        <f t="shared" ca="1" si="0"/>
        <v>59</v>
      </c>
      <c r="F7" s="45">
        <f t="shared" ca="1" si="0"/>
        <v>60.7</v>
      </c>
      <c r="G7" s="45">
        <f t="shared" ca="1" si="0"/>
        <v>61</v>
      </c>
      <c r="H7" s="45">
        <f t="shared" ca="1" si="0"/>
        <v>52.7</v>
      </c>
      <c r="I7" s="45">
        <f t="shared" ca="1" si="0"/>
        <v>57</v>
      </c>
      <c r="J7" s="45">
        <f t="shared" ca="1" si="0"/>
        <v>51.2</v>
      </c>
      <c r="K7" s="45">
        <f t="shared" ca="1" si="0"/>
        <v>56</v>
      </c>
    </row>
    <row r="8" spans="1:11" ht="14.25" customHeight="1" x14ac:dyDescent="0.35"/>
    <row r="9" spans="1:11" ht="14.25" customHeight="1" x14ac:dyDescent="0.35"/>
    <row r="10" spans="1:11" ht="14.25" customHeight="1" x14ac:dyDescent="0.35">
      <c r="E10" s="84" t="s">
        <v>215</v>
      </c>
      <c r="F10" s="80"/>
    </row>
    <row r="11" spans="1:11" ht="14.25" customHeight="1" x14ac:dyDescent="0.35">
      <c r="E11" s="46" t="s">
        <v>11</v>
      </c>
      <c r="F11" s="47">
        <f ca="1">SUMIF($B$3:$K$3,"Thực tế",$B$7:$K$7)</f>
        <v>353.99999999999994</v>
      </c>
    </row>
    <row r="12" spans="1:11" ht="14.25" customHeight="1" x14ac:dyDescent="0.35">
      <c r="E12" s="48" t="s">
        <v>12</v>
      </c>
      <c r="F12" s="49">
        <f ca="1">SUMIF($B$3:$K$3,"Ước tính",$B$7:$K$7)</f>
        <v>363</v>
      </c>
    </row>
    <row r="13" spans="1:11" ht="14.25" customHeight="1" x14ac:dyDescent="0.35"/>
    <row r="14" spans="1:11" ht="14.25" customHeight="1" x14ac:dyDescent="0.35"/>
    <row r="15" spans="1:11" ht="14.25" customHeight="1" x14ac:dyDescent="0.35"/>
    <row r="16" spans="1:1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Kaito !</cp:lastModifiedBy>
  <dcterms:created xsi:type="dcterms:W3CDTF">2021-04-23T08:05:10Z</dcterms:created>
  <dcterms:modified xsi:type="dcterms:W3CDTF">2026-05-06T17:49:30Z</dcterms:modified>
</cp:coreProperties>
</file>